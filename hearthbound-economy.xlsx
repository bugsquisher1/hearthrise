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kill_Endgames" sheetId="2" state="visible" r:id="rId4"/>
    <sheet name="Tier_Ladder" sheetId="3" state="visible" r:id="rId5"/>
    <sheet name="XP_Curve" sheetId="4" state="visible" r:id="rId6"/>
    <sheet name="Smithing" sheetId="5" state="visible" r:id="rId7"/>
    <sheet name="Crafting" sheetId="6" state="visible" r:id="rId8"/>
    <sheet name="Cooking" sheetId="7" state="visible" r:id="rId9"/>
    <sheet name="Tools" sheetId="8" state="visible" r:id="rId10"/>
    <sheet name="Combat_Gear" sheetId="9" state="visible" r:id="rId11"/>
    <sheet name="House_Rooms" sheetId="10" state="visible" r:id="rId12"/>
    <sheet name="Clan_Castle" sheetId="11" state="visible" r:id="rId13"/>
    <sheet name="Drop_Rates" sheetId="12" state="visible" r:id="rId14"/>
    <sheet name="Currenc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<sst xmlns="http://schemas.openxmlformats.org/spreadsheetml/2006/main" count="750" uniqueCount="552">
  <si>
    <t xml:space="preserve">Hearthbound — Balance / Economy Workbook</t>
  </si>
  <si>
    <t xml:space="preserve">This workbook holds every tunable number for the game economy.</t>
  </si>
  <si>
    <t xml:space="preserve">Numbers are starting points, written to be adjusted before being committed to game code.</t>
  </si>
  <si>
    <t xml:space="preserve">How to read each sheet:</t>
  </si>
  <si>
    <t xml:space="preserve">  • Headings are amber; data rows alternate light blue.</t>
  </si>
  <si>
    <t xml:space="preserve">  • Blue numeric cells are inputs (change me).</t>
  </si>
  <si>
    <t xml:space="preserve">  • Black numeric cells are formulas (don't change directly — change the input they pull from).</t>
  </si>
  <si>
    <t xml:space="preserve">  • All formulas use cell references so changing one input updates downstream numbers.</t>
  </si>
  <si>
    <t xml:space="preserve">Sheet index:</t>
  </si>
  <si>
    <t xml:space="preserve">  README          — you are here</t>
  </si>
  <si>
    <t xml:space="preserve">  Skill_Endgames  — one row per skill: terminal goal, prerequisite tier</t>
  </si>
  <si>
    <t xml:space="preserve">  Tier_Ladder     — the six material tiers and what each contains</t>
  </si>
  <si>
    <t xml:space="preserve">  XP_Curve        — OSRS-style XP table (read-only reference)</t>
  </si>
  <si>
    <t xml:space="preserve">  Smithing        — bar recipes and XP rates</t>
  </si>
  <si>
    <t xml:space="preserve">  Crafting        — leather / cloth / jewelry recipes</t>
  </si>
  <si>
    <t xml:space="preserve">  Cooking         — food + buff food recipes</t>
  </si>
  <si>
    <t xml:space="preserve">  Tools           — the iron-pan pattern (pickaxe, hatchet, rod, hoe, cookware, etc)</t>
  </si>
  <si>
    <t xml:space="preserve">  Combat_Gear     — full armor/weapon ladder</t>
  </si>
  <si>
    <t xml:space="preserve">  House_Rooms     — homestead rooms, costs, bonuses</t>
  </si>
  <si>
    <t xml:space="preserve">  Clan_Castle     — pooled-cost ladder for the social endgame</t>
  </si>
  <si>
    <t xml:space="preserve">  Drop_Rates      — monster drops + expected yield per hour formulas</t>
  </si>
  <si>
    <t xml:space="preserve">  Currency        — faucet vs sink audit for gold and gems</t>
  </si>
  <si>
    <t xml:space="preserve">Companion design doc: hearthbound-design.docx</t>
  </si>
  <si>
    <t xml:space="preserve">Skill</t>
  </si>
  <si>
    <t xml:space="preserve">Category</t>
  </si>
  <si>
    <t xml:space="preserve">Endgame goal</t>
  </si>
  <si>
    <t xml:space="preserve">Required for</t>
  </si>
  <si>
    <t xml:space="preserve">Other skills required at lv 70+</t>
  </si>
  <si>
    <t xml:space="preserve">Attack</t>
  </si>
  <si>
    <t xml:space="preserve">Combat</t>
  </si>
  <si>
    <t xml:space="preserve">Champion's Edict + token drop on rare bosses</t>
  </si>
  <si>
    <t xml:space="preserve">Lead clan raids</t>
  </si>
  <si>
    <t xml:space="preserve">Smithing (gear), Hitpoints</t>
  </si>
  <si>
    <t xml:space="preserve">Strength</t>
  </si>
  <si>
    <t xml:space="preserve">Mountain Heart drop → Heart of Stone necklace (+15 STR)</t>
  </si>
  <si>
    <t xml:space="preserve">Solo achievement</t>
  </si>
  <si>
    <t xml:space="preserve">Smithing, Hitpoints</t>
  </si>
  <si>
    <t xml:space="preserve">Defense</t>
  </si>
  <si>
    <t xml:space="preserve">Bulwark stance (1 hit to 1HP)</t>
  </si>
  <si>
    <t xml:space="preserve">World boss raids</t>
  </si>
  <si>
    <t xml:space="preserve">Hitpoints</t>
  </si>
  <si>
    <t xml:space="preserve">Beastmaster: tame named companions</t>
  </si>
  <si>
    <t xml:space="preserve">Castle T4+ raids</t>
  </si>
  <si>
    <t xml:space="preserve">All gather skills (tame quests)</t>
  </si>
  <si>
    <t xml:space="preserve">Prayer</t>
  </si>
  <si>
    <t xml:space="preserve">Sanctity: bone bury XP shared with clan</t>
  </si>
  <si>
    <t xml:space="preserve">Bone Censer cosmetic; party blessing</t>
  </si>
  <si>
    <t xml:space="preserve">Crafting (censer), Hitpoints</t>
  </si>
  <si>
    <t xml:space="preserve">Magic</t>
  </si>
  <si>
    <t xml:space="preserve">Teleport network + ancient rune forging</t>
  </si>
  <si>
    <t xml:space="preserve">Enchanting jewelry</t>
  </si>
  <si>
    <t xml:space="preserve">Mining (runite), Crafting</t>
  </si>
  <si>
    <t xml:space="preserve">Woodcutting</t>
  </si>
  <si>
    <t xml:space="preserve">Gather</t>
  </si>
  <si>
    <t xml:space="preserve">Magic Tree spawns</t>
  </si>
  <si>
    <t xml:space="preserve">T6 tool handles</t>
  </si>
  <si>
    <t xml:space="preserve">Smithing</t>
  </si>
  <si>
    <t xml:space="preserve">Mining</t>
  </si>
  <si>
    <t xml:space="preserve">Crystal Mine zone + Orichalcum</t>
  </si>
  <si>
    <t xml:space="preserve">Mythic pickaxe</t>
  </si>
  <si>
    <t xml:space="preserve">Smithing, Magic</t>
  </si>
  <si>
    <t xml:space="preserve">Fishing</t>
  </si>
  <si>
    <t xml:space="preserve">Manta + Crystal Fish</t>
  </si>
  <si>
    <t xml:space="preserve">Phoenix Stew, overheal</t>
  </si>
  <si>
    <t xml:space="preserve">Cooking</t>
  </si>
  <si>
    <t xml:space="preserve">Farming</t>
  </si>
  <si>
    <t xml:space="preserve">Magic Berry Bush (+50,000 XP item daily)</t>
  </si>
  <si>
    <t xml:space="preserve">Single best XP item</t>
  </si>
  <si>
    <t xml:space="preserve">Cooking, Crafting</t>
  </si>
  <si>
    <t xml:space="preserve">Artisan</t>
  </si>
  <si>
    <t xml:space="preserve">Phoenix Stew + Feast Hall mode</t>
  </si>
  <si>
    <t xml:space="preserve">Clan-wide buff cooking</t>
  </si>
  <si>
    <t xml:space="preserve">Fishing, Farming, Smithing (Dragon Cauldron)</t>
  </si>
  <si>
    <t xml:space="preserve">Crafting</t>
  </si>
  <si>
    <t xml:space="preserve">Living Cloak (auto-swap gear by zone)</t>
  </si>
  <si>
    <t xml:space="preserve">Endgame QOL</t>
  </si>
  <si>
    <t xml:space="preserve">Magic, Smithing</t>
  </si>
  <si>
    <t xml:space="preserve">Mythic forging (1 weekly random Mythic)</t>
  </si>
  <si>
    <t xml:space="preserve">Strongest weapons</t>
  </si>
  <si>
    <t xml:space="preserve">Mining, Woodcutting, Magic</t>
  </si>
  <si>
    <t xml:space="preserve">Tier</t>
  </si>
  <si>
    <t xml:space="preserve">Lv band</t>
  </si>
  <si>
    <t xml:space="preserve">Wood</t>
  </si>
  <si>
    <t xml:space="preserve">Ore</t>
  </si>
  <si>
    <t xml:space="preserve">Bar</t>
  </si>
  <si>
    <t xml:space="preserve">Fish</t>
  </si>
  <si>
    <t xml:space="preserve">Crop</t>
  </si>
  <si>
    <t xml:space="preserve">Hide / drop</t>
  </si>
  <si>
    <t xml:space="preserve">Avg action time (s)</t>
  </si>
  <si>
    <t xml:space="preserve">T1 Bronze</t>
  </si>
  <si>
    <t xml:space="preserve">1–14</t>
  </si>
  <si>
    <t xml:space="preserve">Normal Log</t>
  </si>
  <si>
    <t xml:space="preserve">Copper / Tin</t>
  </si>
  <si>
    <t xml:space="preserve">Bronze Bar</t>
  </si>
  <si>
    <t xml:space="preserve">Shrimp</t>
  </si>
  <si>
    <t xml:space="preserve">Turnip</t>
  </si>
  <si>
    <t xml:space="preserve">Goblin Ear, Bones</t>
  </si>
  <si>
    <t xml:space="preserve">T2 Iron</t>
  </si>
  <si>
    <t xml:space="preserve">15–29</t>
  </si>
  <si>
    <t xml:space="preserve">Oak Log</t>
  </si>
  <si>
    <t xml:space="preserve">Iron</t>
  </si>
  <si>
    <t xml:space="preserve">Iron Bar</t>
  </si>
  <si>
    <t xml:space="preserve">Trout</t>
  </si>
  <si>
    <t xml:space="preserve">Carrot, Wheat</t>
  </si>
  <si>
    <t xml:space="preserve">Wolf Pelt</t>
  </si>
  <si>
    <t xml:space="preserve">T3 Steel</t>
  </si>
  <si>
    <t xml:space="preserve">30–49</t>
  </si>
  <si>
    <t xml:space="preserve">Willow Log</t>
  </si>
  <si>
    <t xml:space="preserve">Coal + Iron</t>
  </si>
  <si>
    <t xml:space="preserve">Steel Bar</t>
  </si>
  <si>
    <t xml:space="preserve">Lobster</t>
  </si>
  <si>
    <t xml:space="preserve">Potato, Tomato</t>
  </si>
  <si>
    <t xml:space="preserve">Troll Hide</t>
  </si>
  <si>
    <t xml:space="preserve">T4 Mithril</t>
  </si>
  <si>
    <t xml:space="preserve">50–69</t>
  </si>
  <si>
    <t xml:space="preserve">Maple Log</t>
  </si>
  <si>
    <t xml:space="preserve">Mithril</t>
  </si>
  <si>
    <t xml:space="preserve">Mithril Bar</t>
  </si>
  <si>
    <t xml:space="preserve">Swordfish</t>
  </si>
  <si>
    <t xml:space="preserve">Pumpkin, M.Berry</t>
  </si>
  <si>
    <t xml:space="preserve">Vampire Dust</t>
  </si>
  <si>
    <t xml:space="preserve">T5 Adamant</t>
  </si>
  <si>
    <t xml:space="preserve">70–84</t>
  </si>
  <si>
    <t xml:space="preserve">Yew Log</t>
  </si>
  <si>
    <t xml:space="preserve">Adamantite</t>
  </si>
  <si>
    <t xml:space="preserve">Adamant Bar</t>
  </si>
  <si>
    <t xml:space="preserve">Shark</t>
  </si>
  <si>
    <t xml:space="preserve">Mooncap Mushroom</t>
  </si>
  <si>
    <t xml:space="preserve">Demon Shard, Dragon Scale</t>
  </si>
  <si>
    <t xml:space="preserve">T6 Rune</t>
  </si>
  <si>
    <t xml:space="preserve">85–99</t>
  </si>
  <si>
    <t xml:space="preserve">Magic Log</t>
  </si>
  <si>
    <t xml:space="preserve">Runite</t>
  </si>
  <si>
    <t xml:space="preserve">Rune Bar</t>
  </si>
  <si>
    <t xml:space="preserve">Manta, Crystal</t>
  </si>
  <si>
    <t xml:space="preserve">Crystal Wheat</t>
  </si>
  <si>
    <t xml:space="preserve">Lich Soul, Phoenix Feather</t>
  </si>
  <si>
    <t xml:space="preserve">Level</t>
  </si>
  <si>
    <t xml:space="preserve">Cumulative XP</t>
  </si>
  <si>
    <t xml:space="preserve">XP gained from prev</t>
  </si>
  <si>
    <t xml:space="preserve">Output bar</t>
  </si>
  <si>
    <t xml:space="preserve">Smith Lv</t>
  </si>
  <si>
    <t xml:space="preserve">Inputs</t>
  </si>
  <si>
    <t xml:space="preserve">Coal req</t>
  </si>
  <si>
    <t xml:space="preserve">XP / bar</t>
  </si>
  <si>
    <t xml:space="preserve">Action ms (base)</t>
  </si>
  <si>
    <t xml:space="preserve">Bars / hr</t>
  </si>
  <si>
    <t xml:space="preserve">XP / hr</t>
  </si>
  <si>
    <t xml:space="preserve">1 Copper + 1 Tin</t>
  </si>
  <si>
    <t xml:space="preserve">1 Iron + 1 Coal</t>
  </si>
  <si>
    <t xml:space="preserve">1 Iron + 2 Coal</t>
  </si>
  <si>
    <t xml:space="preserve">1 Mithril + 4 Coal</t>
  </si>
  <si>
    <t xml:space="preserve">1 Adamant + 6 Coal</t>
  </si>
  <si>
    <t xml:space="preserve">1 Runite + 8 Coal</t>
  </si>
  <si>
    <t xml:space="preserve">Tools made from bars</t>
  </si>
  <si>
    <t xml:space="preserve">Item</t>
  </si>
  <si>
    <t xml:space="preserve">Bars req</t>
  </si>
  <si>
    <t xml:space="preserve">Plank req</t>
  </si>
  <si>
    <t xml:space="preserve">Bonus / use</t>
  </si>
  <si>
    <t xml:space="preserve">Iron Pickaxe</t>
  </si>
  <si>
    <t xml:space="preserve">+25% mining speed</t>
  </si>
  <si>
    <t xml:space="preserve">Iron Pan</t>
  </si>
  <si>
    <t xml:space="preserve">5% double-cook</t>
  </si>
  <si>
    <t xml:space="preserve">Iron Sword</t>
  </si>
  <si>
    <t xml:space="preserve">+7 ATK / +6 STR</t>
  </si>
  <si>
    <t xml:space="preserve">Steel Pickaxe</t>
  </si>
  <si>
    <t xml:space="preserve">+50% speed, can mine Coal</t>
  </si>
  <si>
    <t xml:space="preserve">Steel Skillet</t>
  </si>
  <si>
    <t xml:space="preserve">10% double / 5% no-burn</t>
  </si>
  <si>
    <t xml:space="preserve">Mithril Pickaxe</t>
  </si>
  <si>
    <t xml:space="preserve">+75% speed, can mine Mithril</t>
  </si>
  <si>
    <t xml:space="preserve">Mithril Wok</t>
  </si>
  <si>
    <t xml:space="preserve">15% double / 10% no-burn</t>
  </si>
  <si>
    <t xml:space="preserve">Rune Pickaxe</t>
  </si>
  <si>
    <t xml:space="preserve">+125% speed / 5% double ore</t>
  </si>
  <si>
    <t xml:space="preserve">Rune Cauldron</t>
  </si>
  <si>
    <t xml:space="preserve">25% double / 20% no-burn</t>
  </si>
  <si>
    <t xml:space="preserve">Dragon Cauldron</t>
  </si>
  <si>
    <t xml:space="preserve">30% double, 0% burn, can cook Phoenix Stew</t>
  </si>
  <si>
    <t xml:space="preserve">Output</t>
  </si>
  <si>
    <t xml:space="preserve">Craft Lv</t>
  </si>
  <si>
    <t xml:space="preserve">XP</t>
  </si>
  <si>
    <t xml:space="preserve">Use</t>
  </si>
  <si>
    <t xml:space="preserve">Linen Thread</t>
  </si>
  <si>
    <t xml:space="preserve">1 Wheat</t>
  </si>
  <si>
    <t xml:space="preserve">Component for Leather Strap</t>
  </si>
  <si>
    <t xml:space="preserve">Wool</t>
  </si>
  <si>
    <t xml:space="preserve">1 Sheared Wool (chicken pen)</t>
  </si>
  <si>
    <t xml:space="preserve">Component for Padded Hide</t>
  </si>
  <si>
    <t xml:space="preserve">Leather Strap</t>
  </si>
  <si>
    <t xml:space="preserve">1 Wolf Pelt + 1 Linen Thread</t>
  </si>
  <si>
    <t xml:space="preserve">Required for early crafted gear</t>
  </si>
  <si>
    <t xml:space="preserve">Padded Hide</t>
  </si>
  <si>
    <t xml:space="preserve">1 Troll Hide + 2 Wool</t>
  </si>
  <si>
    <t xml:space="preserve">T3 armor base</t>
  </si>
  <si>
    <t xml:space="preserve">Snakeskin Plate</t>
  </si>
  <si>
    <t xml:space="preserve">2 Snakeskin + 1 Mithril Bar</t>
  </si>
  <si>
    <t xml:space="preserve">T4 light armor</t>
  </si>
  <si>
    <t xml:space="preserve">Dragonscale Plate</t>
  </si>
  <si>
    <t xml:space="preserve">1 Dragon Scale + 1 Magic Essence</t>
  </si>
  <si>
    <t xml:space="preserve">T5 medium armor</t>
  </si>
  <si>
    <t xml:space="preserve">Demonweave</t>
  </si>
  <si>
    <t xml:space="preserve">1 Demon Shard + 2 Adamant Bar</t>
  </si>
  <si>
    <t xml:space="preserve">T5 heavy</t>
  </si>
  <si>
    <t xml:space="preserve">Phoenix Cape</t>
  </si>
  <si>
    <t xml:space="preserve">5 Phoenix Feather + 1 Lich Soul</t>
  </si>
  <si>
    <t xml:space="preserve">Endgame cape</t>
  </si>
  <si>
    <t xml:space="preserve">Jewelry sub-chain</t>
  </si>
  <si>
    <t xml:space="preserve">Bezel</t>
  </si>
  <si>
    <t xml:space="preserve">Gem</t>
  </si>
  <si>
    <t xml:space="preserve">Bonus</t>
  </si>
  <si>
    <t xml:space="preserve">Slot</t>
  </si>
  <si>
    <t xml:space="preserve">Copper Ring of Strength</t>
  </si>
  <si>
    <t xml:space="preserve">Copper bar</t>
  </si>
  <si>
    <t xml:space="preserve">Ruby</t>
  </si>
  <si>
    <t xml:space="preserve">+2 STR</t>
  </si>
  <si>
    <t xml:space="preserve">Ring</t>
  </si>
  <si>
    <t xml:space="preserve">Gold Ring of Wealth</t>
  </si>
  <si>
    <t xml:space="preserve">Gold bar</t>
  </si>
  <si>
    <t xml:space="preserve">Emerald</t>
  </si>
  <si>
    <t xml:space="preserve">+5% gold from monsters</t>
  </si>
  <si>
    <t xml:space="preserve">Mithril Ring of Wisdom</t>
  </si>
  <si>
    <t xml:space="preserve">Mithril bar</t>
  </si>
  <si>
    <t xml:space="preserve">Diamond</t>
  </si>
  <si>
    <t xml:space="preserve">+3% all skill XP</t>
  </si>
  <si>
    <t xml:space="preserve">Hunter Necklace</t>
  </si>
  <si>
    <t xml:space="preserve">Iron bar</t>
  </si>
  <si>
    <t xml:space="preserve">Bone bead</t>
  </si>
  <si>
    <t xml:space="preserve">+2 ATK on monsters</t>
  </si>
  <si>
    <t xml:space="preserve">Necklace</t>
  </si>
  <si>
    <t xml:space="preserve">Charm of Plenty</t>
  </si>
  <si>
    <t xml:space="preserve">Steel bar</t>
  </si>
  <si>
    <t xml:space="preserve">Pearl</t>
  </si>
  <si>
    <t xml:space="preserve">+1 farming yield</t>
  </si>
  <si>
    <t xml:space="preserve">Earrings of Focus</t>
  </si>
  <si>
    <t xml:space="preserve">Sapphire</t>
  </si>
  <si>
    <t xml:space="preserve">+5% gather speed</t>
  </si>
  <si>
    <t xml:space="preserve">Earrings</t>
  </si>
  <si>
    <t xml:space="preserve">Ring of Mastery</t>
  </si>
  <si>
    <t xml:space="preserve">Rune bar</t>
  </si>
  <si>
    <t xml:space="preserve">Dragon Gem</t>
  </si>
  <si>
    <t xml:space="preserve">+10% to chosen skill (swap daily)</t>
  </si>
  <si>
    <t xml:space="preserve">Recipe</t>
  </si>
  <si>
    <t xml:space="preserve">Cook Lv</t>
  </si>
  <si>
    <t xml:space="preserve">Heal</t>
  </si>
  <si>
    <t xml:space="preserve">Buff</t>
  </si>
  <si>
    <t xml:space="preserve">Cooked Shrimp</t>
  </si>
  <si>
    <t xml:space="preserve">1 Raw Shrimp</t>
  </si>
  <si>
    <t xml:space="preserve">Trout &amp; Bread</t>
  </si>
  <si>
    <t xml:space="preserve">1 Raw Trout + 1 Wheat</t>
  </si>
  <si>
    <t xml:space="preserve">Sandwich</t>
  </si>
  <si>
    <t xml:space="preserve">Lobster Plate</t>
  </si>
  <si>
    <t xml:space="preserve">1 Raw Lobster + 1 Carrot + 1 Potato</t>
  </si>
  <si>
    <t xml:space="preserve">+5% gather speed for 8 min</t>
  </si>
  <si>
    <t xml:space="preserve">Pumpkin Stew</t>
  </si>
  <si>
    <t xml:space="preserve">2 Pumpkin + 1 Potato + 1 Tomato</t>
  </si>
  <si>
    <t xml:space="preserve">Stew</t>
  </si>
  <si>
    <t xml:space="preserve">+10% farming XP for 10 min</t>
  </si>
  <si>
    <t xml:space="preserve">Buffer Cake</t>
  </si>
  <si>
    <t xml:space="preserve">5 Wheat + 5 Tomato + 5 Pumpkin + 1 Magic Essence</t>
  </si>
  <si>
    <t xml:space="preserve">Cake (24 slc)</t>
  </si>
  <si>
    <t xml:space="preserve">Each slice: +10% combat XP 15 min</t>
  </si>
  <si>
    <t xml:space="preserve">Phoenix Stew</t>
  </si>
  <si>
    <t xml:space="preserve">1 Phoenix Feather + 1 Mooncap + 1 Crystal Fish</t>
  </si>
  <si>
    <t xml:space="preserve">Heal full + +20% all skill XP 30 min, clan-shareable</t>
  </si>
  <si>
    <t xml:space="preserve">Pickaxes — Mining</t>
  </si>
  <si>
    <t xml:space="preserve">Tool</t>
  </si>
  <si>
    <t xml:space="preserve">Wield Lv</t>
  </si>
  <si>
    <t xml:space="preserve">Bars</t>
  </si>
  <si>
    <t xml:space="preserve">Plank</t>
  </si>
  <si>
    <t xml:space="preserve">Speed bonus</t>
  </si>
  <si>
    <t xml:space="preserve">Special</t>
  </si>
  <si>
    <t xml:space="preserve">T1</t>
  </si>
  <si>
    <t xml:space="preserve">Bronze Pickaxe</t>
  </si>
  <si>
    <t xml:space="preserve">Normal</t>
  </si>
  <si>
    <t xml:space="preserve">Required to mine</t>
  </si>
  <si>
    <t xml:space="preserve">T2</t>
  </si>
  <si>
    <t xml:space="preserve">Oak</t>
  </si>
  <si>
    <t xml:space="preserve">T3</t>
  </si>
  <si>
    <t xml:space="preserve">Willow</t>
  </si>
  <si>
    <t xml:space="preserve">Can mine Coal</t>
  </si>
  <si>
    <t xml:space="preserve">T4</t>
  </si>
  <si>
    <t xml:space="preserve">Maple</t>
  </si>
  <si>
    <t xml:space="preserve">Can mine Mithril</t>
  </si>
  <si>
    <t xml:space="preserve">T5</t>
  </si>
  <si>
    <t xml:space="preserve">Adamant Pickaxe</t>
  </si>
  <si>
    <t xml:space="preserve">Yew</t>
  </si>
  <si>
    <t xml:space="preserve">Can mine Adamantite</t>
  </si>
  <si>
    <t xml:space="preserve">T6</t>
  </si>
  <si>
    <t xml:space="preserve">5% double ore</t>
  </si>
  <si>
    <t xml:space="preserve">T7</t>
  </si>
  <si>
    <t xml:space="preserve">Dragon Pickaxe</t>
  </si>
  <si>
    <t xml:space="preserve">10% double, +5% rare gem</t>
  </si>
  <si>
    <t xml:space="preserve">Hatchets — Woodcutting</t>
  </si>
  <si>
    <t xml:space="preserve">Bronze Hatchet</t>
  </si>
  <si>
    <t xml:space="preserve">Required to chop</t>
  </si>
  <si>
    <t xml:space="preserve">Iron Hatchet</t>
  </si>
  <si>
    <t xml:space="preserve">Steel Hatchet</t>
  </si>
  <si>
    <t xml:space="preserve">Mithril Hatchet</t>
  </si>
  <si>
    <t xml:space="preserve">Can chop Maple</t>
  </si>
  <si>
    <t xml:space="preserve">Adamant Hatchet</t>
  </si>
  <si>
    <t xml:space="preserve">Rune Hatchet</t>
  </si>
  <si>
    <t xml:space="preserve">5% double log</t>
  </si>
  <si>
    <t xml:space="preserve">Dragon Hatchet</t>
  </si>
  <si>
    <t xml:space="preserve">10% double + chance for nest drop</t>
  </si>
  <si>
    <t xml:space="preserve">Cookware — the Iron Pan ladder</t>
  </si>
  <si>
    <t xml:space="preserve">Double-cook %</t>
  </si>
  <si>
    <t xml:space="preserve">No-burn %</t>
  </si>
  <si>
    <t xml:space="preserve">Bronze Pan</t>
  </si>
  <si>
    <t xml:space="preserve">Adamant Pot</t>
  </si>
  <si>
    <t xml:space="preserve">Implements — Crafting needles, Smithing hammers, Magic staves, Prayer censers</t>
  </si>
  <si>
    <t xml:space="preserve">Tier ladder</t>
  </si>
  <si>
    <t xml:space="preserve">Top-tier bonus</t>
  </si>
  <si>
    <t xml:space="preserve">Needle</t>
  </si>
  <si>
    <t xml:space="preserve">Bronze → Dragon</t>
  </si>
  <si>
    <t xml:space="preserve">20% chance to use 1 less material per craft</t>
  </si>
  <si>
    <t xml:space="preserve">Hammer</t>
  </si>
  <si>
    <t xml:space="preserve">20% chance to forge 2 items per ore</t>
  </si>
  <si>
    <t xml:space="preserve">Staff</t>
  </si>
  <si>
    <t xml:space="preserve">Bronze → Rune</t>
  </si>
  <si>
    <t xml:space="preserve">Spell power +50% / unlock T6 spells</t>
  </si>
  <si>
    <t xml:space="preserve">Censer</t>
  </si>
  <si>
    <t xml:space="preserve">20% bone refund on bury</t>
  </si>
  <si>
    <t xml:space="preserve">Rod</t>
  </si>
  <si>
    <t xml:space="preserve">20% double-catch, can fish Crystal Fish</t>
  </si>
  <si>
    <t xml:space="preserve">Hoe</t>
  </si>
  <si>
    <t xml:space="preserve">+1 yield per crop</t>
  </si>
  <si>
    <t xml:space="preserve">Weapon (sword)</t>
  </si>
  <si>
    <t xml:space="preserve">Bronze</t>
  </si>
  <si>
    <t xml:space="preserve">Steel</t>
  </si>
  <si>
    <t xml:space="preserve">Adamant</t>
  </si>
  <si>
    <t xml:space="preserve">Rune / Dragon</t>
  </si>
  <si>
    <t xml:space="preserve">Helmet</t>
  </si>
  <si>
    <t xml:space="preserve">Body</t>
  </si>
  <si>
    <t xml:space="preserve">Pants</t>
  </si>
  <si>
    <t xml:space="preserve">Boots</t>
  </si>
  <si>
    <t xml:space="preserve">Hide</t>
  </si>
  <si>
    <t xml:space="preserve">Snakeskin</t>
  </si>
  <si>
    <t xml:space="preserve">Dragonhide</t>
  </si>
  <si>
    <t xml:space="preserve">Phoenix-feather</t>
  </si>
  <si>
    <t xml:space="preserve">Gloves</t>
  </si>
  <si>
    <t xml:space="preserve">Cloth</t>
  </si>
  <si>
    <t xml:space="preserve">Leather</t>
  </si>
  <si>
    <t xml:space="preserve">Padded</t>
  </si>
  <si>
    <t xml:space="preserve">Cape</t>
  </si>
  <si>
    <t xml:space="preserve">—</t>
  </si>
  <si>
    <t xml:space="preserve">Traveler</t>
  </si>
  <si>
    <t xml:space="preserve">Hunter</t>
  </si>
  <si>
    <t xml:space="preserve">Magic Cape</t>
  </si>
  <si>
    <t xml:space="preserve">Demon Cape</t>
  </si>
  <si>
    <t xml:space="preserve">Ring 1 / 2</t>
  </si>
  <si>
    <t xml:space="preserve">Copper</t>
  </si>
  <si>
    <t xml:space="preserve">Gold</t>
  </si>
  <si>
    <t xml:space="preserve">Mastery</t>
  </si>
  <si>
    <t xml:space="preserve">Plenty</t>
  </si>
  <si>
    <t xml:space="preserve">Power</t>
  </si>
  <si>
    <t xml:space="preserve">Heart of Stone</t>
  </si>
  <si>
    <t xml:space="preserve">Focus</t>
  </si>
  <si>
    <t xml:space="preserve">Mooncap</t>
  </si>
  <si>
    <t xml:space="preserve">Phoenix</t>
  </si>
  <si>
    <t xml:space="preserve">Ammo</t>
  </si>
  <si>
    <t xml:space="preserve">Iron Arr</t>
  </si>
  <si>
    <t xml:space="preserve">Steel Arr</t>
  </si>
  <si>
    <t xml:space="preserve">Mithril A</t>
  </si>
  <si>
    <t xml:space="preserve">Adamant A</t>
  </si>
  <si>
    <t xml:space="preserve">Rune A</t>
  </si>
  <si>
    <t xml:space="preserve">Belt</t>
  </si>
  <si>
    <t xml:space="preserve">Rune</t>
  </si>
  <si>
    <t xml:space="preserve">Companion</t>
  </si>
  <si>
    <t xml:space="preserve">Fox</t>
  </si>
  <si>
    <t xml:space="preserve">Wolf</t>
  </si>
  <si>
    <t xml:space="preserve">Dragon Hatchling</t>
  </si>
  <si>
    <t xml:space="preserve">Sword stat ladder (representative)</t>
  </si>
  <si>
    <t xml:space="preserve">Sword</t>
  </si>
  <si>
    <t xml:space="preserve">ATK bonus</t>
  </si>
  <si>
    <t xml:space="preserve">STR bonus</t>
  </si>
  <si>
    <t xml:space="preserve">Speed</t>
  </si>
  <si>
    <t xml:space="preserve">Bronze Sword</t>
  </si>
  <si>
    <t xml:space="preserve">Steel Sword</t>
  </si>
  <si>
    <t xml:space="preserve">Mithril Sword</t>
  </si>
  <si>
    <t xml:space="preserve">Adamant Sword</t>
  </si>
  <si>
    <t xml:space="preserve">Rune Sword</t>
  </si>
  <si>
    <t xml:space="preserve">Dragon Sword</t>
  </si>
  <si>
    <t xml:space="preserve">Room</t>
  </si>
  <si>
    <t xml:space="preserve">Gold cost</t>
  </si>
  <si>
    <t xml:space="preserve">Material 1</t>
  </si>
  <si>
    <t xml:space="preserve">Material 2</t>
  </si>
  <si>
    <t xml:space="preserve">Kitchen</t>
  </si>
  <si>
    <t xml:space="preserve">20 Normal Plank</t>
  </si>
  <si>
    <t xml:space="preserve">Cook +10%</t>
  </si>
  <si>
    <t xml:space="preserve">30 Oak Plank</t>
  </si>
  <si>
    <t xml:space="preserve">20 Iron Bar</t>
  </si>
  <si>
    <t xml:space="preserve">Cook +25%</t>
  </si>
  <si>
    <t xml:space="preserve">50 Iron Bar</t>
  </si>
  <si>
    <t xml:space="preserve">Cook +40%</t>
  </si>
  <si>
    <t xml:space="preserve">40 Maple Plank</t>
  </si>
  <si>
    <t xml:space="preserve">30 Mithril Bar</t>
  </si>
  <si>
    <t xml:space="preserve">Cook +60%</t>
  </si>
  <si>
    <t xml:space="preserve">50 Maple Plank</t>
  </si>
  <si>
    <t xml:space="preserve">50 Mithril Bar + 1 Phoenix Feather</t>
  </si>
  <si>
    <t xml:space="preserve">Cook +75%, +10% no-burn</t>
  </si>
  <si>
    <t xml:space="preserve">Forge</t>
  </si>
  <si>
    <t xml:space="preserve">30 Copper Ore</t>
  </si>
  <si>
    <t xml:space="preserve">Smith +10%</t>
  </si>
  <si>
    <t xml:space="preserve">50 Iron Ore</t>
  </si>
  <si>
    <t xml:space="preserve">20 Coal</t>
  </si>
  <si>
    <t xml:space="preserve">Smith +25%</t>
  </si>
  <si>
    <t xml:space="preserve">30 Coal</t>
  </si>
  <si>
    <t xml:space="preserve">Smith +40%</t>
  </si>
  <si>
    <t xml:space="preserve">30 Mithril Ore</t>
  </si>
  <si>
    <t xml:space="preserve">60 Coal</t>
  </si>
  <si>
    <t xml:space="preserve">Smith +60%</t>
  </si>
  <si>
    <t xml:space="preserve">50 Mithril Ore</t>
  </si>
  <si>
    <t xml:space="preserve">100 Coal + 1 Dragon Bone</t>
  </si>
  <si>
    <t xml:space="preserve">Smith +75%</t>
  </si>
  <si>
    <t xml:space="preserve">Library</t>
  </si>
  <si>
    <t xml:space="preserve">50 Normal Plank</t>
  </si>
  <si>
    <t xml:space="preserve">All XP +5%</t>
  </si>
  <si>
    <t xml:space="preserve">30 Maple Plank</t>
  </si>
  <si>
    <t xml:space="preserve">5 Magic Essence</t>
  </si>
  <si>
    <t xml:space="preserve">All XP +15%</t>
  </si>
  <si>
    <t xml:space="preserve">100 Yew Plank</t>
  </si>
  <si>
    <t xml:space="preserve">1 Ancient Rune</t>
  </si>
  <si>
    <t xml:space="preserve">All XP +25%</t>
  </si>
  <si>
    <t xml:space="preserve">Garden</t>
  </si>
  <si>
    <t xml:space="preserve">20 Wheat</t>
  </si>
  <si>
    <t xml:space="preserve">Yield +1</t>
  </si>
  <si>
    <t xml:space="preserve">60 Wheat</t>
  </si>
  <si>
    <t xml:space="preserve">5 Pumpkin</t>
  </si>
  <si>
    <t xml:space="preserve">Yield +3</t>
  </si>
  <si>
    <t xml:space="preserve">5 Mooncap</t>
  </si>
  <si>
    <t xml:space="preserve">5 Magic Berry</t>
  </si>
  <si>
    <t xml:space="preserve">Yield +5</t>
  </si>
  <si>
    <t xml:space="preserve">Trophy</t>
  </si>
  <si>
    <t xml:space="preserve">5 Wolf Pelt</t>
  </si>
  <si>
    <t xml:space="preserve">Combat XP +5%</t>
  </si>
  <si>
    <t xml:space="preserve">3 Troll Hide</t>
  </si>
  <si>
    <t xml:space="preserve">Combat XP +15%</t>
  </si>
  <si>
    <t xml:space="preserve">2 Dragon Scale</t>
  </si>
  <si>
    <t xml:space="preserve">1 Lich Soul</t>
  </si>
  <si>
    <t xml:space="preserve">Combat XP +25%</t>
  </si>
  <si>
    <t xml:space="preserve">Cellar</t>
  </si>
  <si>
    <t xml:space="preserve">60 Normal Plank</t>
  </si>
  <si>
    <t xml:space="preserve">+500 storage</t>
  </si>
  <si>
    <t xml:space="preserve">50 Willow Plank</t>
  </si>
  <si>
    <t xml:space="preserve">+5,000 storage</t>
  </si>
  <si>
    <t xml:space="preserve">50 Yew Plank</t>
  </si>
  <si>
    <t xml:space="preserve">1 Phoenix Feather</t>
  </si>
  <si>
    <t xml:space="preserve">+10,000 storage, +4h offline cap</t>
  </si>
  <si>
    <t xml:space="preserve">Workshop</t>
  </si>
  <si>
    <t xml:space="preserve">40 Copper Ore</t>
  </si>
  <si>
    <t xml:space="preserve">Craft cost −3%</t>
  </si>
  <si>
    <t xml:space="preserve">60 Iron Ore</t>
  </si>
  <si>
    <t xml:space="preserve">1 Magic Essence</t>
  </si>
  <si>
    <t xml:space="preserve">Craft cost −7%</t>
  </si>
  <si>
    <t xml:space="preserve">1 Dragon Gem</t>
  </si>
  <si>
    <t xml:space="preserve">Craft cost −10%</t>
  </si>
  <si>
    <t xml:space="preserve">Pooled gold</t>
  </si>
  <si>
    <t xml:space="preserve">Pooled materials</t>
  </si>
  <si>
    <t xml:space="preserve">Boss requirement</t>
  </si>
  <si>
    <t xml:space="preserve">Unlocks</t>
  </si>
  <si>
    <t xml:space="preserve">T1 Foundation</t>
  </si>
  <si>
    <t xml:space="preserve">5,000 Oak Plank + 1,000 Iron Bar</t>
  </si>
  <si>
    <t xml:space="preserve">Castle exists, clan chat, +1% shared XP</t>
  </si>
  <si>
    <t xml:space="preserve">T2 Walls</t>
  </si>
  <si>
    <t xml:space="preserve">+ 25,000 Willow Plank + 5,000 Steel Bar + 500 Wolf Pelt</t>
  </si>
  <si>
    <t xml:space="preserve">Storage 50k, +2% XP, Castle Defense missions every 4h</t>
  </si>
  <si>
    <t xml:space="preserve">T3 Keep</t>
  </si>
  <si>
    <t xml:space="preserve">+ 50,000 Maple Plank + 10,000 Mithril Bar + 100 Troll Hide</t>
  </si>
  <si>
    <t xml:space="preserve">Clan vault, +3% XP, 5-player raids</t>
  </si>
  <si>
    <t xml:space="preserve">T4 Bastion</t>
  </si>
  <si>
    <t xml:space="preserve">+ 100,000 Yew Plank + 20,000 Adamant Bar + 50 Dragon Scale + 10 Demon Shard</t>
  </si>
  <si>
    <t xml:space="preserve">Defeat World Boss (24h cycle)</t>
  </si>
  <si>
    <t xml:space="preserve">+4% XP, world boss schedule</t>
  </si>
  <si>
    <t xml:space="preserve">T5 Mythic Hold</t>
  </si>
  <si>
    <t xml:space="preserve">+ 500,000 Magic Plank + 50,000 Rune Bar + 25 Lich Soul + 10 Phoenix Feather</t>
  </si>
  <si>
    <t xml:space="preserve">Clan kill of God-tier raid</t>
  </si>
  <si>
    <t xml:space="preserve">+5% XP, Phoenix Stew shareable, 10-player Mythic raid, server-wide cosmetic title</t>
  </si>
  <si>
    <t xml:space="preserve">Inputs (edit these): Kills per hour</t>
  </si>
  <si>
    <t xml:space="preserve">Kills/hr</t>
  </si>
  <si>
    <t xml:space="preserve">Monster</t>
  </si>
  <si>
    <t xml:space="preserve">Drop</t>
  </si>
  <si>
    <t xml:space="preserve">Drop chance</t>
  </si>
  <si>
    <t xml:space="preserve">Expected drops/hr</t>
  </si>
  <si>
    <t xml:space="preserve">Item value (g)</t>
  </si>
  <si>
    <t xml:space="preserve">Expected gold/hr</t>
  </si>
  <si>
    <t xml:space="preserve">Slime</t>
  </si>
  <si>
    <t xml:space="preserve">Slime Gel</t>
  </si>
  <si>
    <t xml:space="preserve">Bones</t>
  </si>
  <si>
    <t xml:space="preserve">Goblin</t>
  </si>
  <si>
    <t xml:space="preserve">Goblin Ear</t>
  </si>
  <si>
    <t xml:space="preserve">Troll</t>
  </si>
  <si>
    <t xml:space="preserve">Dragon</t>
  </si>
  <si>
    <t xml:space="preserve">Dragon Scale</t>
  </si>
  <si>
    <t xml:space="preserve">Lich</t>
  </si>
  <si>
    <t xml:space="preserve">Lich Soul</t>
  </si>
  <si>
    <t xml:space="preserve">Ancient Rune</t>
  </si>
  <si>
    <t xml:space="preserve">Gold faucets</t>
  </si>
  <si>
    <t xml:space="preserve">Source</t>
  </si>
  <si>
    <t xml:space="preserve">Rate per hour (mid-game)</t>
  </si>
  <si>
    <t xml:space="preserve">Notes</t>
  </si>
  <si>
    <t xml:space="preserve">Monster kills</t>
  </si>
  <si>
    <t xml:space="preserve">100 kills/hr × ~25g/kill</t>
  </si>
  <si>
    <t xml:space="preserve">Sell shop</t>
  </si>
  <si>
    <t xml:space="preserve">Sell unwanted drops</t>
  </si>
  <si>
    <t xml:space="preserve">Daily tasks</t>
  </si>
  <si>
    <t xml:space="preserve">Spread across daily actions</t>
  </si>
  <si>
    <t xml:space="preserve">Quest rewards</t>
  </si>
  <si>
    <t xml:space="preserve">Average over time</t>
  </si>
  <si>
    <t xml:space="preserve">Castle defense missions</t>
  </si>
  <si>
    <t xml:space="preserve">Every 4h drops + gold</t>
  </si>
  <si>
    <t xml:space="preserve">Gold sinks</t>
  </si>
  <si>
    <t xml:space="preserve">Sink</t>
  </si>
  <si>
    <t xml:space="preserve">Rate per hour (target)</t>
  </si>
  <si>
    <t xml:space="preserve">Equipment shop</t>
  </si>
  <si>
    <t xml:space="preserve">Player buys gear upgrades</t>
  </si>
  <si>
    <t xml:space="preserve">Seed shop</t>
  </si>
  <si>
    <t xml:space="preserve">Farming seeds</t>
  </si>
  <si>
    <t xml:space="preserve">Room/plot upgrades</t>
  </si>
  <si>
    <t xml:space="preserve">Mid-game, smoothed average</t>
  </si>
  <si>
    <t xml:space="preserve">Repair (T6 gear)</t>
  </si>
  <si>
    <t xml:space="preserve">Endgame only</t>
  </si>
  <si>
    <t xml:space="preserve">Cosmetic dyes</t>
  </si>
  <si>
    <t xml:space="preserve">Vanity</t>
  </si>
  <si>
    <t xml:space="preserve">Net gold per hour</t>
  </si>
  <si>
    <t xml:space="preserve">Gem faucets</t>
  </si>
  <si>
    <t xml:space="preserve">Per week (free player)</t>
  </si>
  <si>
    <t xml:space="preserve">Per week (paid)</t>
  </si>
  <si>
    <t xml:space="preserve">IAP packs</t>
  </si>
  <si>
    <t xml:space="preserve">Up to player</t>
  </si>
  <si>
    <t xml:space="preserve">Season Pass tiers</t>
  </si>
  <si>
    <t xml:space="preserve">30-day, ~10/day on tiers</t>
  </si>
  <si>
    <t xml:space="preserve">Boss rare drops</t>
  </si>
  <si>
    <t xml:space="preserve">Capped 5/week</t>
  </si>
  <si>
    <t xml:space="preserve">Daily login</t>
  </si>
  <si>
    <t xml:space="preserve">1/day</t>
  </si>
  <si>
    <t xml:space="preserve">Achievements</t>
  </si>
  <si>
    <t xml:space="preserve">Bursty</t>
  </si>
  <si>
    <t xml:space="preserve">Gem sinks</t>
  </si>
  <si>
    <t xml:space="preserve">Cost</t>
  </si>
  <si>
    <t xml:space="preserve">Cosmetic ring (skin)</t>
  </si>
  <si>
    <t xml:space="preserve">One-off</t>
  </si>
  <si>
    <t xml:space="preserve">House theme</t>
  </si>
  <si>
    <t xml:space="preserve">Forest/Desert/Winter</t>
  </si>
  <si>
    <t xml:space="preserve">Premium house theme</t>
  </si>
  <si>
    <t xml:space="preserve">Volcanic</t>
  </si>
  <si>
    <t xml:space="preserve">Bag slot expansion (+10)</t>
  </si>
  <si>
    <t xml:space="preserve">Up to +50 slots</t>
  </si>
  <si>
    <t xml:space="preserve">Bank slot expansion (+25)</t>
  </si>
  <si>
    <t xml:space="preserve">Up to +100 slots</t>
  </si>
  <si>
    <t xml:space="preserve">Instant offline finish</t>
  </si>
  <si>
    <t xml:space="preserve">Mobile convenience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</si>
</sst>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#,##0"/>
    <numFmt numFmtId="167" formatCode="0.0%"/>
    <numFmt numFmtId="168" formatCode="#,##0;\(#,##0\)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0232A"/>
      <name val="Arial"/>
      <family val="0"/>
      <charset val="1"/>
    </font>
    <font>
      <sz val="11"/>
      <color rgb="FF20232A"/>
      <name val="Arial"/>
      <family val="0"/>
      <charset val="1"/>
    </font>
    <font>
      <b val="true"/>
      <sz val="12"/>
      <color rgb="FFB68B1F"/>
      <name val="Arial"/>
      <family val="0"/>
      <charset val="1"/>
    </font>
    <font>
      <b val="true"/>
      <sz val="11"/>
      <color rgb="FF20232A"/>
      <name val="Arial"/>
      <family val="0"/>
      <charset val="1"/>
    </font>
    <font>
      <sz val="10"/>
      <color rgb="FF20232A"/>
      <name val="Arial"/>
      <family val="0"/>
      <charset val="1"/>
    </font>
    <font>
      <b val="true"/>
      <sz val="11"/>
      <color rgb="FFB68B1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8A8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E6"/>
        <bgColor rgb="FFF6F8FB"/>
      </patternFill>
    </fill>
    <fill>
      <patternFill patternType="solid">
        <fgColor rgb="FFF6F8FB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68B1F"/>
      <rgbColor rgb="FF800080"/>
      <rgbColor rgb="FF1F8A85"/>
      <rgbColor rgb="FFC0C0C0"/>
      <rgbColor rgb="FF808080"/>
      <rgbColor rgb="FF9999FF"/>
      <rgbColor rgb="FF993366"/>
      <rgbColor rgb="FFFFF7E6"/>
      <rgbColor rgb="FFCCFFFF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3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32"/>
    <col collapsed="false" customWidth="true" hidden="false" outlineLevel="0" max="5" min="5" style="0" width="38"/>
  </cols>
  <sheetData>
    <row r="1" customFormat="false" ht="21.7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customFormat="false" ht="18" hidden="false" customHeight="tru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</row>
    <row r="3" customFormat="false" ht="18" hidden="false" customHeight="true" outlineLevel="0" collapsed="false">
      <c r="A3" s="6" t="s">
        <v>33</v>
      </c>
      <c r="B3" s="6" t="s">
        <v>29</v>
      </c>
      <c r="C3" s="6" t="s">
        <v>34</v>
      </c>
      <c r="D3" s="6" t="s">
        <v>35</v>
      </c>
      <c r="E3" s="6" t="s">
        <v>36</v>
      </c>
    </row>
    <row r="4" customFormat="false" ht="18" hidden="false" customHeight="true" outlineLevel="0" collapsed="false">
      <c r="A4" s="5" t="s">
        <v>37</v>
      </c>
      <c r="B4" s="5" t="s">
        <v>29</v>
      </c>
      <c r="C4" s="5" t="s">
        <v>38</v>
      </c>
      <c r="D4" s="5" t="s">
        <v>39</v>
      </c>
      <c r="E4" s="5" t="s">
        <v>36</v>
      </c>
    </row>
    <row r="5" customFormat="false" ht="18" hidden="false" customHeight="true" outlineLevel="0" collapsed="false">
      <c r="A5" s="6" t="s">
        <v>40</v>
      </c>
      <c r="B5" s="6" t="s">
        <v>29</v>
      </c>
      <c r="C5" s="6" t="s">
        <v>41</v>
      </c>
      <c r="D5" s="6" t="s">
        <v>42</v>
      </c>
      <c r="E5" s="6" t="s">
        <v>43</v>
      </c>
    </row>
    <row r="6" customFormat="false" ht="18" hidden="false" customHeight="true" outlineLevel="0" collapsed="false">
      <c r="A6" s="5" t="s">
        <v>44</v>
      </c>
      <c r="B6" s="5" t="s">
        <v>29</v>
      </c>
      <c r="C6" s="5" t="s">
        <v>45</v>
      </c>
      <c r="D6" s="5" t="s">
        <v>46</v>
      </c>
      <c r="E6" s="5" t="s">
        <v>47</v>
      </c>
    </row>
    <row r="7" customFormat="false" ht="18" hidden="false" customHeight="true" outlineLevel="0" collapsed="false">
      <c r="A7" s="6" t="s">
        <v>48</v>
      </c>
      <c r="B7" s="6" t="s">
        <v>29</v>
      </c>
      <c r="C7" s="6" t="s">
        <v>49</v>
      </c>
      <c r="D7" s="6" t="s">
        <v>50</v>
      </c>
      <c r="E7" s="6" t="s">
        <v>51</v>
      </c>
    </row>
    <row r="8" customFormat="false" ht="18" hidden="false" customHeight="true" outlineLevel="0" collapsed="false">
      <c r="A8" s="5" t="s">
        <v>52</v>
      </c>
      <c r="B8" s="5" t="s">
        <v>53</v>
      </c>
      <c r="C8" s="5" t="s">
        <v>54</v>
      </c>
      <c r="D8" s="5" t="s">
        <v>55</v>
      </c>
      <c r="E8" s="5" t="s">
        <v>56</v>
      </c>
    </row>
    <row r="9" customFormat="false" ht="18" hidden="false" customHeight="true" outlineLevel="0" collapsed="false">
      <c r="A9" s="6" t="s">
        <v>57</v>
      </c>
      <c r="B9" s="6" t="s">
        <v>53</v>
      </c>
      <c r="C9" s="6" t="s">
        <v>58</v>
      </c>
      <c r="D9" s="6" t="s">
        <v>59</v>
      </c>
      <c r="E9" s="6" t="s">
        <v>60</v>
      </c>
    </row>
    <row r="10" customFormat="false" ht="18" hidden="false" customHeight="true" outlineLevel="0" collapsed="false">
      <c r="A10" s="5" t="s">
        <v>61</v>
      </c>
      <c r="B10" s="5" t="s">
        <v>53</v>
      </c>
      <c r="C10" s="5" t="s">
        <v>62</v>
      </c>
      <c r="D10" s="5" t="s">
        <v>63</v>
      </c>
      <c r="E10" s="5" t="s">
        <v>64</v>
      </c>
    </row>
    <row r="11" customFormat="false" ht="18" hidden="false" customHeight="true" outlineLevel="0" collapsed="false">
      <c r="A11" s="6" t="s">
        <v>65</v>
      </c>
      <c r="B11" s="6" t="s">
        <v>53</v>
      </c>
      <c r="C11" s="6" t="s">
        <v>66</v>
      </c>
      <c r="D11" s="6" t="s">
        <v>67</v>
      </c>
      <c r="E11" s="6" t="s">
        <v>68</v>
      </c>
    </row>
    <row r="12" customFormat="false" ht="18" hidden="false" customHeight="true" outlineLevel="0" collapsed="false">
      <c r="A12" s="5" t="s">
        <v>64</v>
      </c>
      <c r="B12" s="5" t="s">
        <v>69</v>
      </c>
      <c r="C12" s="5" t="s">
        <v>70</v>
      </c>
      <c r="D12" s="5" t="s">
        <v>71</v>
      </c>
      <c r="E12" s="5" t="s">
        <v>72</v>
      </c>
    </row>
    <row r="13" customFormat="false" ht="18" hidden="false" customHeight="true" outlineLevel="0" collapsed="false">
      <c r="A13" s="6" t="s">
        <v>73</v>
      </c>
      <c r="B13" s="6" t="s">
        <v>69</v>
      </c>
      <c r="C13" s="6" t="s">
        <v>74</v>
      </c>
      <c r="D13" s="6" t="s">
        <v>75</v>
      </c>
      <c r="E13" s="6" t="s">
        <v>76</v>
      </c>
    </row>
    <row r="14" customFormat="false" ht="18" hidden="false" customHeight="true" outlineLevel="0" collapsed="false">
      <c r="A14" s="5" t="s">
        <v>56</v>
      </c>
      <c r="B14" s="5" t="s">
        <v>69</v>
      </c>
      <c r="C14" s="5" t="s">
        <v>77</v>
      </c>
      <c r="D14" s="5" t="s">
        <v>78</v>
      </c>
      <c r="E14" s="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4" t="s">
        <v>80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</row>
    <row r="2" customFormat="false" ht="18" hidden="false" customHeight="true" outlineLevel="0" collapsed="false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  <c r="I2" s="7" t="n">
        <v>3</v>
      </c>
    </row>
    <row r="3" customFormat="false" ht="18" hidden="false" customHeight="true" outlineLevel="0" collapsed="false">
      <c r="A3" s="6" t="s">
        <v>97</v>
      </c>
      <c r="B3" s="6" t="s">
        <v>98</v>
      </c>
      <c r="C3" s="6" t="s">
        <v>99</v>
      </c>
      <c r="D3" s="6" t="s">
        <v>100</v>
      </c>
      <c r="E3" s="6" t="s">
        <v>101</v>
      </c>
      <c r="F3" s="6" t="s">
        <v>102</v>
      </c>
      <c r="G3" s="6" t="s">
        <v>103</v>
      </c>
      <c r="H3" s="6" t="s">
        <v>104</v>
      </c>
      <c r="I3" s="8" t="n">
        <v>4</v>
      </c>
    </row>
    <row r="4" customFormat="false" ht="18" hidden="false" customHeight="true" outlineLevel="0" collapsed="false">
      <c r="A4" s="5" t="s">
        <v>105</v>
      </c>
      <c r="B4" s="5" t="s">
        <v>106</v>
      </c>
      <c r="C4" s="5" t="s">
        <v>107</v>
      </c>
      <c r="D4" s="5" t="s">
        <v>108</v>
      </c>
      <c r="E4" s="5" t="s">
        <v>109</v>
      </c>
      <c r="F4" s="5" t="s">
        <v>110</v>
      </c>
      <c r="G4" s="5" t="s">
        <v>111</v>
      </c>
      <c r="H4" s="5" t="s">
        <v>112</v>
      </c>
      <c r="I4" s="7" t="n">
        <v>5.5</v>
      </c>
    </row>
    <row r="5" customFormat="false" ht="18" hidden="false" customHeight="true" outlineLevel="0" collapsed="false">
      <c r="A5" s="6" t="s">
        <v>113</v>
      </c>
      <c r="B5" s="6" t="s">
        <v>114</v>
      </c>
      <c r="C5" s="6" t="s">
        <v>115</v>
      </c>
      <c r="D5" s="6" t="s">
        <v>116</v>
      </c>
      <c r="E5" s="6" t="s">
        <v>117</v>
      </c>
      <c r="F5" s="6" t="s">
        <v>118</v>
      </c>
      <c r="G5" s="6" t="s">
        <v>119</v>
      </c>
      <c r="H5" s="6" t="s">
        <v>120</v>
      </c>
      <c r="I5" s="8" t="n">
        <v>7</v>
      </c>
    </row>
    <row r="6" customFormat="false" ht="18" hidden="false" customHeight="true" outlineLevel="0" collapsed="false">
      <c r="A6" s="5" t="s">
        <v>121</v>
      </c>
      <c r="B6" s="5" t="s">
        <v>122</v>
      </c>
      <c r="C6" s="5" t="s">
        <v>123</v>
      </c>
      <c r="D6" s="5" t="s">
        <v>124</v>
      </c>
      <c r="E6" s="5" t="s">
        <v>125</v>
      </c>
      <c r="F6" s="5" t="s">
        <v>126</v>
      </c>
      <c r="G6" s="5" t="s">
        <v>127</v>
      </c>
      <c r="H6" s="5" t="s">
        <v>128</v>
      </c>
      <c r="I6" s="7" t="n">
        <v>9</v>
      </c>
    </row>
    <row r="7" customFormat="false" ht="18" hidden="false" customHeight="true" outlineLevel="0" collapsed="false">
      <c r="A7" s="6" t="s">
        <v>129</v>
      </c>
      <c r="B7" s="6" t="s">
        <v>130</v>
      </c>
      <c r="C7" s="6" t="s">
        <v>131</v>
      </c>
      <c r="D7" s="6" t="s">
        <v>132</v>
      </c>
      <c r="E7" s="6" t="s">
        <v>133</v>
      </c>
      <c r="F7" s="6" t="s">
        <v>134</v>
      </c>
      <c r="G7" s="6" t="s">
        <v>135</v>
      </c>
      <c r="H7" s="6" t="s">
        <v>136</v>
      </c>
      <c r="I7" s="8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21.75" hidden="false" customHeight="true" outlineLevel="0" collapsed="false">
      <c r="A1" s="4" t="s">
        <v>137</v>
      </c>
      <c r="B1" s="4" t="s">
        <v>138</v>
      </c>
      <c r="C1" s="4" t="s">
        <v>139</v>
      </c>
    </row>
    <row r="2" customFormat="false" ht="18" hidden="false" customHeight="true" outlineLevel="0" collapsed="false">
      <c r="A2" s="5" t="n">
        <v>1</v>
      </c>
      <c r="B2" s="7" t="n">
        <v>0</v>
      </c>
      <c r="C2" s="7"/>
    </row>
    <row r="3" customFormat="false" ht="18" hidden="false" customHeight="true" outlineLevel="0" collapsed="false">
      <c r="A3" s="6" t="n">
        <v>2</v>
      </c>
      <c r="B3" s="8" t="n">
        <v>83</v>
      </c>
      <c r="C3" s="9" t="n">
        <f aca="false">B3-B2</f>
        <v>83</v>
      </c>
    </row>
    <row r="4" customFormat="false" ht="18" hidden="false" customHeight="true" outlineLevel="0" collapsed="false">
      <c r="A4" s="5" t="n">
        <v>3</v>
      </c>
      <c r="B4" s="7" t="n">
        <v>174</v>
      </c>
      <c r="C4" s="10" t="n">
        <f aca="false">B4-B3</f>
        <v>91</v>
      </c>
    </row>
    <row r="5" customFormat="false" ht="18" hidden="false" customHeight="true" outlineLevel="0" collapsed="false">
      <c r="A5" s="6" t="n">
        <v>4</v>
      </c>
      <c r="B5" s="8" t="n">
        <v>276</v>
      </c>
      <c r="C5" s="9" t="n">
        <f aca="false">B5-B4</f>
        <v>102</v>
      </c>
    </row>
    <row r="6" customFormat="false" ht="18" hidden="false" customHeight="true" outlineLevel="0" collapsed="false">
      <c r="A6" s="5" t="n">
        <v>5</v>
      </c>
      <c r="B6" s="7" t="n">
        <v>388</v>
      </c>
      <c r="C6" s="10" t="n">
        <f aca="false">B6-B5</f>
        <v>112</v>
      </c>
    </row>
    <row r="7" customFormat="false" ht="18" hidden="false" customHeight="true" outlineLevel="0" collapsed="false">
      <c r="A7" s="6" t="n">
        <v>6</v>
      </c>
      <c r="B7" s="8" t="n">
        <v>512</v>
      </c>
      <c r="C7" s="9" t="n">
        <f aca="false">B7-B6</f>
        <v>124</v>
      </c>
    </row>
    <row r="8" customFormat="false" ht="18" hidden="false" customHeight="true" outlineLevel="0" collapsed="false">
      <c r="A8" s="5" t="n">
        <v>7</v>
      </c>
      <c r="B8" s="7" t="n">
        <v>650</v>
      </c>
      <c r="C8" s="10" t="n">
        <f aca="false">B8-B7</f>
        <v>138</v>
      </c>
    </row>
    <row r="9" customFormat="false" ht="18" hidden="false" customHeight="true" outlineLevel="0" collapsed="false">
      <c r="A9" s="6" t="n">
        <v>8</v>
      </c>
      <c r="B9" s="8" t="n">
        <v>801</v>
      </c>
      <c r="C9" s="9" t="n">
        <f aca="false">B9-B8</f>
        <v>151</v>
      </c>
    </row>
    <row r="10" customFormat="false" ht="18" hidden="false" customHeight="true" outlineLevel="0" collapsed="false">
      <c r="A10" s="5" t="n">
        <v>9</v>
      </c>
      <c r="B10" s="7" t="n">
        <v>969</v>
      </c>
      <c r="C10" s="10" t="n">
        <f aca="false">B10-B9</f>
        <v>168</v>
      </c>
    </row>
    <row r="11" customFormat="false" ht="18" hidden="false" customHeight="true" outlineLevel="0" collapsed="false">
      <c r="A11" s="6" t="n">
        <v>10</v>
      </c>
      <c r="B11" s="8" t="n">
        <v>1154</v>
      </c>
      <c r="C11" s="9" t="n">
        <f aca="false">B11-B10</f>
        <v>185</v>
      </c>
    </row>
    <row r="12" customFormat="false" ht="18" hidden="false" customHeight="true" outlineLevel="0" collapsed="false">
      <c r="A12" s="5" t="n">
        <v>11</v>
      </c>
      <c r="B12" s="7" t="n">
        <v>1358</v>
      </c>
      <c r="C12" s="10" t="n">
        <f aca="false">B12-B11</f>
        <v>204</v>
      </c>
    </row>
    <row r="13" customFormat="false" ht="18" hidden="false" customHeight="true" outlineLevel="0" collapsed="false">
      <c r="A13" s="6" t="n">
        <v>12</v>
      </c>
      <c r="B13" s="8" t="n">
        <v>1584</v>
      </c>
      <c r="C13" s="9" t="n">
        <f aca="false">B13-B12</f>
        <v>226</v>
      </c>
    </row>
    <row r="14" customFormat="false" ht="18" hidden="false" customHeight="true" outlineLevel="0" collapsed="false">
      <c r="A14" s="5" t="n">
        <v>13</v>
      </c>
      <c r="B14" s="7" t="n">
        <v>1833</v>
      </c>
      <c r="C14" s="10" t="n">
        <f aca="false">B14-B13</f>
        <v>249</v>
      </c>
    </row>
    <row r="15" customFormat="false" ht="18" hidden="false" customHeight="true" outlineLevel="0" collapsed="false">
      <c r="A15" s="6" t="n">
        <v>14</v>
      </c>
      <c r="B15" s="8" t="n">
        <v>2107</v>
      </c>
      <c r="C15" s="9" t="n">
        <f aca="false">B15-B14</f>
        <v>274</v>
      </c>
    </row>
    <row r="16" customFormat="false" ht="18" hidden="false" customHeight="true" outlineLevel="0" collapsed="false">
      <c r="A16" s="5" t="n">
        <v>15</v>
      </c>
      <c r="B16" s="7" t="n">
        <v>2411</v>
      </c>
      <c r="C16" s="10" t="n">
        <f aca="false">B16-B15</f>
        <v>304</v>
      </c>
    </row>
    <row r="17" customFormat="false" ht="18" hidden="false" customHeight="true" outlineLevel="0" collapsed="false">
      <c r="A17" s="6" t="n">
        <v>16</v>
      </c>
      <c r="B17" s="8" t="n">
        <v>2746</v>
      </c>
      <c r="C17" s="9" t="n">
        <f aca="false">B17-B16</f>
        <v>335</v>
      </c>
    </row>
    <row r="18" customFormat="false" ht="18" hidden="false" customHeight="true" outlineLevel="0" collapsed="false">
      <c r="A18" s="5" t="n">
        <v>17</v>
      </c>
      <c r="B18" s="7" t="n">
        <v>3115</v>
      </c>
      <c r="C18" s="10" t="n">
        <f aca="false">B18-B17</f>
        <v>369</v>
      </c>
    </row>
    <row r="19" customFormat="false" ht="18" hidden="false" customHeight="true" outlineLevel="0" collapsed="false">
      <c r="A19" s="6" t="n">
        <v>18</v>
      </c>
      <c r="B19" s="8" t="n">
        <v>3523</v>
      </c>
      <c r="C19" s="9" t="n">
        <f aca="false">B19-B18</f>
        <v>408</v>
      </c>
    </row>
    <row r="20" customFormat="false" ht="18" hidden="false" customHeight="true" outlineLevel="0" collapsed="false">
      <c r="A20" s="5" t="n">
        <v>19</v>
      </c>
      <c r="B20" s="7" t="n">
        <v>3973</v>
      </c>
      <c r="C20" s="10" t="n">
        <f aca="false">B20-B19</f>
        <v>450</v>
      </c>
    </row>
    <row r="21" customFormat="false" ht="18" hidden="false" customHeight="true" outlineLevel="0" collapsed="false">
      <c r="A21" s="6" t="n">
        <v>20</v>
      </c>
      <c r="B21" s="8" t="n">
        <v>4470</v>
      </c>
      <c r="C21" s="9" t="n">
        <f aca="false">B21-B20</f>
        <v>497</v>
      </c>
    </row>
    <row r="22" customFormat="false" ht="18" hidden="false" customHeight="true" outlineLevel="0" collapsed="false">
      <c r="A22" s="5" t="n">
        <v>21</v>
      </c>
      <c r="B22" s="7" t="n">
        <v>5018</v>
      </c>
      <c r="C22" s="10" t="n">
        <f aca="false">B22-B21</f>
        <v>548</v>
      </c>
    </row>
    <row r="23" customFormat="false" ht="18" hidden="false" customHeight="true" outlineLevel="0" collapsed="false">
      <c r="A23" s="6" t="n">
        <v>22</v>
      </c>
      <c r="B23" s="8" t="n">
        <v>5624</v>
      </c>
      <c r="C23" s="9" t="n">
        <f aca="false">B23-B22</f>
        <v>606</v>
      </c>
    </row>
    <row r="24" customFormat="false" ht="18" hidden="false" customHeight="true" outlineLevel="0" collapsed="false">
      <c r="A24" s="5" t="n">
        <v>23</v>
      </c>
      <c r="B24" s="7" t="n">
        <v>6291</v>
      </c>
      <c r="C24" s="10" t="n">
        <f aca="false">B24-B23</f>
        <v>667</v>
      </c>
    </row>
    <row r="25" customFormat="false" ht="18" hidden="false" customHeight="true" outlineLevel="0" collapsed="false">
      <c r="A25" s="6" t="n">
        <v>24</v>
      </c>
      <c r="B25" s="8" t="n">
        <v>7028</v>
      </c>
      <c r="C25" s="9" t="n">
        <f aca="false">B25-B24</f>
        <v>737</v>
      </c>
    </row>
    <row r="26" customFormat="false" ht="18" hidden="false" customHeight="true" outlineLevel="0" collapsed="false">
      <c r="A26" s="5" t="n">
        <v>25</v>
      </c>
      <c r="B26" s="7" t="n">
        <v>7842</v>
      </c>
      <c r="C26" s="10" t="n">
        <f aca="false">B26-B25</f>
        <v>814</v>
      </c>
    </row>
    <row r="27" customFormat="false" ht="18" hidden="false" customHeight="true" outlineLevel="0" collapsed="false">
      <c r="A27" s="6" t="n">
        <v>26</v>
      </c>
      <c r="B27" s="8" t="n">
        <v>8740</v>
      </c>
      <c r="C27" s="9" t="n">
        <f aca="false">B27-B26</f>
        <v>898</v>
      </c>
    </row>
    <row r="28" customFormat="false" ht="18" hidden="false" customHeight="true" outlineLevel="0" collapsed="false">
      <c r="A28" s="5" t="n">
        <v>27</v>
      </c>
      <c r="B28" s="7" t="n">
        <v>9730</v>
      </c>
      <c r="C28" s="10" t="n">
        <f aca="false">B28-B27</f>
        <v>990</v>
      </c>
    </row>
    <row r="29" customFormat="false" ht="18" hidden="false" customHeight="true" outlineLevel="0" collapsed="false">
      <c r="A29" s="6" t="n">
        <v>28</v>
      </c>
      <c r="B29" s="8" t="n">
        <v>10824</v>
      </c>
      <c r="C29" s="9" t="n">
        <f aca="false">B29-B28</f>
        <v>1094</v>
      </c>
    </row>
    <row r="30" customFormat="false" ht="18" hidden="false" customHeight="true" outlineLevel="0" collapsed="false">
      <c r="A30" s="5" t="n">
        <v>29</v>
      </c>
      <c r="B30" s="7" t="n">
        <v>12031</v>
      </c>
      <c r="C30" s="10" t="n">
        <f aca="false">B30-B29</f>
        <v>1207</v>
      </c>
    </row>
    <row r="31" customFormat="false" ht="18" hidden="false" customHeight="true" outlineLevel="0" collapsed="false">
      <c r="A31" s="6" t="n">
        <v>30</v>
      </c>
      <c r="B31" s="8" t="n">
        <v>13363</v>
      </c>
      <c r="C31" s="9" t="n">
        <f aca="false">B31-B30</f>
        <v>1332</v>
      </c>
    </row>
    <row r="32" customFormat="false" ht="18" hidden="false" customHeight="true" outlineLevel="0" collapsed="false">
      <c r="A32" s="5" t="n">
        <v>31</v>
      </c>
      <c r="B32" s="7" t="n">
        <v>14833</v>
      </c>
      <c r="C32" s="10" t="n">
        <f aca="false">B32-B31</f>
        <v>1470</v>
      </c>
    </row>
    <row r="33" customFormat="false" ht="18" hidden="false" customHeight="true" outlineLevel="0" collapsed="false">
      <c r="A33" s="6" t="n">
        <v>32</v>
      </c>
      <c r="B33" s="8" t="n">
        <v>16456</v>
      </c>
      <c r="C33" s="9" t="n">
        <f aca="false">B33-B32</f>
        <v>1623</v>
      </c>
    </row>
    <row r="34" customFormat="false" ht="18" hidden="false" customHeight="true" outlineLevel="0" collapsed="false">
      <c r="A34" s="5" t="n">
        <v>33</v>
      </c>
      <c r="B34" s="7" t="n">
        <v>18247</v>
      </c>
      <c r="C34" s="10" t="n">
        <f aca="false">B34-B33</f>
        <v>1791</v>
      </c>
    </row>
    <row r="35" customFormat="false" ht="18" hidden="false" customHeight="true" outlineLevel="0" collapsed="false">
      <c r="A35" s="6" t="n">
        <v>34</v>
      </c>
      <c r="B35" s="8" t="n">
        <v>20224</v>
      </c>
      <c r="C35" s="9" t="n">
        <f aca="false">B35-B34</f>
        <v>1977</v>
      </c>
    </row>
    <row r="36" customFormat="false" ht="18" hidden="false" customHeight="true" outlineLevel="0" collapsed="false">
      <c r="A36" s="5" t="n">
        <v>35</v>
      </c>
      <c r="B36" s="7" t="n">
        <v>22406</v>
      </c>
      <c r="C36" s="10" t="n">
        <f aca="false">B36-B35</f>
        <v>2182</v>
      </c>
    </row>
    <row r="37" customFormat="false" ht="18" hidden="false" customHeight="true" outlineLevel="0" collapsed="false">
      <c r="A37" s="6" t="n">
        <v>36</v>
      </c>
      <c r="B37" s="8" t="n">
        <v>24815</v>
      </c>
      <c r="C37" s="9" t="n">
        <f aca="false">B37-B36</f>
        <v>2409</v>
      </c>
    </row>
    <row r="38" customFormat="false" ht="18" hidden="false" customHeight="true" outlineLevel="0" collapsed="false">
      <c r="A38" s="5" t="n">
        <v>37</v>
      </c>
      <c r="B38" s="7" t="n">
        <v>27473</v>
      </c>
      <c r="C38" s="10" t="n">
        <f aca="false">B38-B37</f>
        <v>2658</v>
      </c>
    </row>
    <row r="39" customFormat="false" ht="18" hidden="false" customHeight="true" outlineLevel="0" collapsed="false">
      <c r="A39" s="6" t="n">
        <v>38</v>
      </c>
      <c r="B39" s="8" t="n">
        <v>30408</v>
      </c>
      <c r="C39" s="9" t="n">
        <f aca="false">B39-B38</f>
        <v>2935</v>
      </c>
    </row>
    <row r="40" customFormat="false" ht="18" hidden="false" customHeight="true" outlineLevel="0" collapsed="false">
      <c r="A40" s="5" t="n">
        <v>39</v>
      </c>
      <c r="B40" s="7" t="n">
        <v>33648</v>
      </c>
      <c r="C40" s="10" t="n">
        <f aca="false">B40-B39</f>
        <v>3240</v>
      </c>
    </row>
    <row r="41" customFormat="false" ht="18" hidden="false" customHeight="true" outlineLevel="0" collapsed="false">
      <c r="A41" s="6" t="n">
        <v>40</v>
      </c>
      <c r="B41" s="8" t="n">
        <v>37224</v>
      </c>
      <c r="C41" s="9" t="n">
        <f aca="false">B41-B40</f>
        <v>3576</v>
      </c>
    </row>
    <row r="42" customFormat="false" ht="18" hidden="false" customHeight="true" outlineLevel="0" collapsed="false">
      <c r="A42" s="5" t="n">
        <v>41</v>
      </c>
      <c r="B42" s="7" t="n">
        <v>41171</v>
      </c>
      <c r="C42" s="10" t="n">
        <f aca="false">B42-B41</f>
        <v>3947</v>
      </c>
    </row>
    <row r="43" customFormat="false" ht="18" hidden="false" customHeight="true" outlineLevel="0" collapsed="false">
      <c r="A43" s="6" t="n">
        <v>42</v>
      </c>
      <c r="B43" s="8" t="n">
        <v>45529</v>
      </c>
      <c r="C43" s="9" t="n">
        <f aca="false">B43-B42</f>
        <v>4358</v>
      </c>
    </row>
    <row r="44" customFormat="false" ht="18" hidden="false" customHeight="true" outlineLevel="0" collapsed="false">
      <c r="A44" s="5" t="n">
        <v>43</v>
      </c>
      <c r="B44" s="7" t="n">
        <v>50339</v>
      </c>
      <c r="C44" s="10" t="n">
        <f aca="false">B44-B43</f>
        <v>4810</v>
      </c>
    </row>
    <row r="45" customFormat="false" ht="18" hidden="false" customHeight="true" outlineLevel="0" collapsed="false">
      <c r="A45" s="6" t="n">
        <v>44</v>
      </c>
      <c r="B45" s="8" t="n">
        <v>55649</v>
      </c>
      <c r="C45" s="9" t="n">
        <f aca="false">B45-B44</f>
        <v>5310</v>
      </c>
    </row>
    <row r="46" customFormat="false" ht="18" hidden="false" customHeight="true" outlineLevel="0" collapsed="false">
      <c r="A46" s="5" t="n">
        <v>45</v>
      </c>
      <c r="B46" s="7" t="n">
        <v>61512</v>
      </c>
      <c r="C46" s="10" t="n">
        <f aca="false">B46-B45</f>
        <v>5863</v>
      </c>
    </row>
    <row r="47" customFormat="false" ht="18" hidden="false" customHeight="true" outlineLevel="0" collapsed="false">
      <c r="A47" s="6" t="n">
        <v>46</v>
      </c>
      <c r="B47" s="8" t="n">
        <v>67983</v>
      </c>
      <c r="C47" s="9" t="n">
        <f aca="false">B47-B46</f>
        <v>6471</v>
      </c>
    </row>
    <row r="48" customFormat="false" ht="18" hidden="false" customHeight="true" outlineLevel="0" collapsed="false">
      <c r="A48" s="5" t="n">
        <v>47</v>
      </c>
      <c r="B48" s="7" t="n">
        <v>75127</v>
      </c>
      <c r="C48" s="10" t="n">
        <f aca="false">B48-B47</f>
        <v>7144</v>
      </c>
    </row>
    <row r="49" customFormat="false" ht="18" hidden="false" customHeight="true" outlineLevel="0" collapsed="false">
      <c r="A49" s="6" t="n">
        <v>48</v>
      </c>
      <c r="B49" s="8" t="n">
        <v>83014</v>
      </c>
      <c r="C49" s="9" t="n">
        <f aca="false">B49-B48</f>
        <v>7887</v>
      </c>
    </row>
    <row r="50" customFormat="false" ht="18" hidden="false" customHeight="true" outlineLevel="0" collapsed="false">
      <c r="A50" s="5" t="n">
        <v>49</v>
      </c>
      <c r="B50" s="7" t="n">
        <v>91721</v>
      </c>
      <c r="C50" s="10" t="n">
        <f aca="false">B50-B49</f>
        <v>8707</v>
      </c>
    </row>
    <row r="51" customFormat="false" ht="18" hidden="false" customHeight="true" outlineLevel="0" collapsed="false">
      <c r="A51" s="6" t="n">
        <v>50</v>
      </c>
      <c r="B51" s="8" t="n">
        <v>101333</v>
      </c>
      <c r="C51" s="9" t="n">
        <f aca="false">B51-B50</f>
        <v>9612</v>
      </c>
    </row>
    <row r="52" customFormat="false" ht="18" hidden="false" customHeight="true" outlineLevel="0" collapsed="false">
      <c r="A52" s="5" t="n">
        <v>51</v>
      </c>
      <c r="B52" s="7" t="n">
        <v>111945</v>
      </c>
      <c r="C52" s="10" t="n">
        <f aca="false">B52-B51</f>
        <v>10612</v>
      </c>
    </row>
    <row r="53" customFormat="false" ht="18" hidden="false" customHeight="true" outlineLevel="0" collapsed="false">
      <c r="A53" s="6" t="n">
        <v>52</v>
      </c>
      <c r="B53" s="8" t="n">
        <v>123660</v>
      </c>
      <c r="C53" s="9" t="n">
        <f aca="false">B53-B52</f>
        <v>11715</v>
      </c>
    </row>
    <row r="54" customFormat="false" ht="18" hidden="false" customHeight="true" outlineLevel="0" collapsed="false">
      <c r="A54" s="5" t="n">
        <v>53</v>
      </c>
      <c r="B54" s="7" t="n">
        <v>136594</v>
      </c>
      <c r="C54" s="10" t="n">
        <f aca="false">B54-B53</f>
        <v>12934</v>
      </c>
    </row>
    <row r="55" customFormat="false" ht="18" hidden="false" customHeight="true" outlineLevel="0" collapsed="false">
      <c r="A55" s="6" t="n">
        <v>54</v>
      </c>
      <c r="B55" s="8" t="n">
        <v>150872</v>
      </c>
      <c r="C55" s="9" t="n">
        <f aca="false">B55-B54</f>
        <v>14278</v>
      </c>
    </row>
    <row r="56" customFormat="false" ht="18" hidden="false" customHeight="true" outlineLevel="0" collapsed="false">
      <c r="A56" s="5" t="n">
        <v>55</v>
      </c>
      <c r="B56" s="7" t="n">
        <v>166636</v>
      </c>
      <c r="C56" s="10" t="n">
        <f aca="false">B56-B55</f>
        <v>15764</v>
      </c>
    </row>
    <row r="57" customFormat="false" ht="18" hidden="false" customHeight="true" outlineLevel="0" collapsed="false">
      <c r="A57" s="6" t="n">
        <v>56</v>
      </c>
      <c r="B57" s="8" t="n">
        <v>184040</v>
      </c>
      <c r="C57" s="9" t="n">
        <f aca="false">B57-B56</f>
        <v>17404</v>
      </c>
    </row>
    <row r="58" customFormat="false" ht="18" hidden="false" customHeight="true" outlineLevel="0" collapsed="false">
      <c r="A58" s="5" t="n">
        <v>57</v>
      </c>
      <c r="B58" s="7" t="n">
        <v>203254</v>
      </c>
      <c r="C58" s="10" t="n">
        <f aca="false">B58-B57</f>
        <v>19214</v>
      </c>
    </row>
    <row r="59" customFormat="false" ht="18" hidden="false" customHeight="true" outlineLevel="0" collapsed="false">
      <c r="A59" s="6" t="n">
        <v>58</v>
      </c>
      <c r="B59" s="8" t="n">
        <v>224466</v>
      </c>
      <c r="C59" s="9" t="n">
        <f aca="false">B59-B58</f>
        <v>21212</v>
      </c>
    </row>
    <row r="60" customFormat="false" ht="18" hidden="false" customHeight="true" outlineLevel="0" collapsed="false">
      <c r="A60" s="5" t="n">
        <v>59</v>
      </c>
      <c r="B60" s="7" t="n">
        <v>247886</v>
      </c>
      <c r="C60" s="10" t="n">
        <f aca="false">B60-B59</f>
        <v>23420</v>
      </c>
    </row>
    <row r="61" customFormat="false" ht="18" hidden="false" customHeight="true" outlineLevel="0" collapsed="false">
      <c r="A61" s="6" t="n">
        <v>60</v>
      </c>
      <c r="B61" s="8" t="n">
        <v>273742</v>
      </c>
      <c r="C61" s="9" t="n">
        <f aca="false">B61-B60</f>
        <v>25856</v>
      </c>
    </row>
    <row r="62" customFormat="false" ht="18" hidden="false" customHeight="true" outlineLevel="0" collapsed="false">
      <c r="A62" s="5" t="n">
        <v>61</v>
      </c>
      <c r="B62" s="7" t="n">
        <v>302288</v>
      </c>
      <c r="C62" s="10" t="n">
        <f aca="false">B62-B61</f>
        <v>28546</v>
      </c>
    </row>
    <row r="63" customFormat="false" ht="18" hidden="false" customHeight="true" outlineLevel="0" collapsed="false">
      <c r="A63" s="6" t="n">
        <v>62</v>
      </c>
      <c r="B63" s="8" t="n">
        <v>333804</v>
      </c>
      <c r="C63" s="9" t="n">
        <f aca="false">B63-B62</f>
        <v>31516</v>
      </c>
    </row>
    <row r="64" customFormat="false" ht="18" hidden="false" customHeight="true" outlineLevel="0" collapsed="false">
      <c r="A64" s="5" t="n">
        <v>63</v>
      </c>
      <c r="B64" s="7" t="n">
        <v>368599</v>
      </c>
      <c r="C64" s="10" t="n">
        <f aca="false">B64-B63</f>
        <v>34795</v>
      </c>
    </row>
    <row r="65" customFormat="false" ht="18" hidden="false" customHeight="true" outlineLevel="0" collapsed="false">
      <c r="A65" s="6" t="n">
        <v>64</v>
      </c>
      <c r="B65" s="8" t="n">
        <v>407015</v>
      </c>
      <c r="C65" s="9" t="n">
        <f aca="false">B65-B64</f>
        <v>38416</v>
      </c>
    </row>
    <row r="66" customFormat="false" ht="18" hidden="false" customHeight="true" outlineLevel="0" collapsed="false">
      <c r="A66" s="5" t="n">
        <v>65</v>
      </c>
      <c r="B66" s="7" t="n">
        <v>449428</v>
      </c>
      <c r="C66" s="10" t="n">
        <f aca="false">B66-B65</f>
        <v>42413</v>
      </c>
    </row>
    <row r="67" customFormat="false" ht="18" hidden="false" customHeight="true" outlineLevel="0" collapsed="false">
      <c r="A67" s="6" t="n">
        <v>66</v>
      </c>
      <c r="B67" s="8" t="n">
        <v>496254</v>
      </c>
      <c r="C67" s="9" t="n">
        <f aca="false">B67-B66</f>
        <v>46826</v>
      </c>
    </row>
    <row r="68" customFormat="false" ht="18" hidden="false" customHeight="true" outlineLevel="0" collapsed="false">
      <c r="A68" s="5" t="n">
        <v>67</v>
      </c>
      <c r="B68" s="7" t="n">
        <v>547953</v>
      </c>
      <c r="C68" s="10" t="n">
        <f aca="false">B68-B67</f>
        <v>51699</v>
      </c>
    </row>
    <row r="69" customFormat="false" ht="18" hidden="false" customHeight="true" outlineLevel="0" collapsed="false">
      <c r="A69" s="6" t="n">
        <v>68</v>
      </c>
      <c r="B69" s="8" t="n">
        <v>605032</v>
      </c>
      <c r="C69" s="9" t="n">
        <f aca="false">B69-B68</f>
        <v>57079</v>
      </c>
    </row>
    <row r="70" customFormat="false" ht="18" hidden="false" customHeight="true" outlineLevel="0" collapsed="false">
      <c r="A70" s="5" t="n">
        <v>69</v>
      </c>
      <c r="B70" s="7" t="n">
        <v>668051</v>
      </c>
      <c r="C70" s="10" t="n">
        <f aca="false">B70-B69</f>
        <v>63019</v>
      </c>
    </row>
    <row r="71" customFormat="false" ht="18" hidden="false" customHeight="true" outlineLevel="0" collapsed="false">
      <c r="A71" s="6" t="n">
        <v>70</v>
      </c>
      <c r="B71" s="8" t="n">
        <v>737627</v>
      </c>
      <c r="C71" s="9" t="n">
        <f aca="false">B71-B70</f>
        <v>69576</v>
      </c>
    </row>
    <row r="72" customFormat="false" ht="18" hidden="false" customHeight="true" outlineLevel="0" collapsed="false">
      <c r="A72" s="5" t="n">
        <v>71</v>
      </c>
      <c r="B72" s="7" t="n">
        <v>814445</v>
      </c>
      <c r="C72" s="10" t="n">
        <f aca="false">B72-B71</f>
        <v>76818</v>
      </c>
    </row>
    <row r="73" customFormat="false" ht="18" hidden="false" customHeight="true" outlineLevel="0" collapsed="false">
      <c r="A73" s="6" t="n">
        <v>72</v>
      </c>
      <c r="B73" s="8" t="n">
        <v>899257</v>
      </c>
      <c r="C73" s="9" t="n">
        <f aca="false">B73-B72</f>
        <v>84812</v>
      </c>
    </row>
    <row r="74" customFormat="false" ht="18" hidden="false" customHeight="true" outlineLevel="0" collapsed="false">
      <c r="A74" s="5" t="n">
        <v>73</v>
      </c>
      <c r="B74" s="7" t="n">
        <v>992895</v>
      </c>
      <c r="C74" s="10" t="n">
        <f aca="false">B74-B73</f>
        <v>93638</v>
      </c>
    </row>
    <row r="75" customFormat="false" ht="18" hidden="false" customHeight="true" outlineLevel="0" collapsed="false">
      <c r="A75" s="6" t="n">
        <v>74</v>
      </c>
      <c r="B75" s="8" t="n">
        <v>1096278</v>
      </c>
      <c r="C75" s="9" t="n">
        <f aca="false">B75-B74</f>
        <v>103383</v>
      </c>
    </row>
    <row r="76" customFormat="false" ht="18" hidden="false" customHeight="true" outlineLevel="0" collapsed="false">
      <c r="A76" s="5" t="n">
        <v>75</v>
      </c>
      <c r="B76" s="7" t="n">
        <v>1210421</v>
      </c>
      <c r="C76" s="10" t="n">
        <f aca="false">B76-B75</f>
        <v>114143</v>
      </c>
    </row>
    <row r="77" customFormat="false" ht="18" hidden="false" customHeight="true" outlineLevel="0" collapsed="false">
      <c r="A77" s="6" t="n">
        <v>76</v>
      </c>
      <c r="B77" s="8" t="n">
        <v>1336443</v>
      </c>
      <c r="C77" s="9" t="n">
        <f aca="false">B77-B76</f>
        <v>126022</v>
      </c>
    </row>
    <row r="78" customFormat="false" ht="18" hidden="false" customHeight="true" outlineLevel="0" collapsed="false">
      <c r="A78" s="5" t="n">
        <v>77</v>
      </c>
      <c r="B78" s="7" t="n">
        <v>1475581</v>
      </c>
      <c r="C78" s="10" t="n">
        <f aca="false">B78-B77</f>
        <v>139138</v>
      </c>
    </row>
    <row r="79" customFormat="false" ht="18" hidden="false" customHeight="true" outlineLevel="0" collapsed="false">
      <c r="A79" s="6" t="n">
        <v>78</v>
      </c>
      <c r="B79" s="8" t="n">
        <v>1629200</v>
      </c>
      <c r="C79" s="9" t="n">
        <f aca="false">B79-B78</f>
        <v>153619</v>
      </c>
    </row>
    <row r="80" customFormat="false" ht="18" hidden="false" customHeight="true" outlineLevel="0" collapsed="false">
      <c r="A80" s="5" t="n">
        <v>79</v>
      </c>
      <c r="B80" s="7" t="n">
        <v>1798808</v>
      </c>
      <c r="C80" s="10" t="n">
        <f aca="false">B80-B79</f>
        <v>169608</v>
      </c>
    </row>
    <row r="81" customFormat="false" ht="18" hidden="false" customHeight="true" outlineLevel="0" collapsed="false">
      <c r="A81" s="6" t="n">
        <v>80</v>
      </c>
      <c r="B81" s="8" t="n">
        <v>1986068</v>
      </c>
      <c r="C81" s="9" t="n">
        <f aca="false">B81-B80</f>
        <v>187260</v>
      </c>
    </row>
    <row r="82" customFormat="false" ht="18" hidden="false" customHeight="true" outlineLevel="0" collapsed="false">
      <c r="A82" s="5" t="n">
        <v>81</v>
      </c>
      <c r="B82" s="7" t="n">
        <v>2192818</v>
      </c>
      <c r="C82" s="10" t="n">
        <f aca="false">B82-B81</f>
        <v>206750</v>
      </c>
    </row>
    <row r="83" customFormat="false" ht="18" hidden="false" customHeight="true" outlineLevel="0" collapsed="false">
      <c r="A83" s="6" t="n">
        <v>82</v>
      </c>
      <c r="B83" s="8" t="n">
        <v>2421087</v>
      </c>
      <c r="C83" s="9" t="n">
        <f aca="false">B83-B82</f>
        <v>228269</v>
      </c>
    </row>
    <row r="84" customFormat="false" ht="18" hidden="false" customHeight="true" outlineLevel="0" collapsed="false">
      <c r="A84" s="5" t="n">
        <v>83</v>
      </c>
      <c r="B84" s="7" t="n">
        <v>2673114</v>
      </c>
      <c r="C84" s="10" t="n">
        <f aca="false">B84-B83</f>
        <v>252027</v>
      </c>
    </row>
    <row r="85" customFormat="false" ht="18" hidden="false" customHeight="true" outlineLevel="0" collapsed="false">
      <c r="A85" s="6" t="n">
        <v>84</v>
      </c>
      <c r="B85" s="8" t="n">
        <v>2951373</v>
      </c>
      <c r="C85" s="9" t="n">
        <f aca="false">B85-B84</f>
        <v>278259</v>
      </c>
    </row>
    <row r="86" customFormat="false" ht="18" hidden="false" customHeight="true" outlineLevel="0" collapsed="false">
      <c r="A86" s="5" t="n">
        <v>85</v>
      </c>
      <c r="B86" s="7" t="n">
        <v>3258594</v>
      </c>
      <c r="C86" s="10" t="n">
        <f aca="false">B86-B85</f>
        <v>307221</v>
      </c>
    </row>
    <row r="87" customFormat="false" ht="18" hidden="false" customHeight="true" outlineLevel="0" collapsed="false">
      <c r="A87" s="6" t="n">
        <v>86</v>
      </c>
      <c r="B87" s="8" t="n">
        <v>3597792</v>
      </c>
      <c r="C87" s="9" t="n">
        <f aca="false">B87-B86</f>
        <v>339198</v>
      </c>
    </row>
    <row r="88" customFormat="false" ht="18" hidden="false" customHeight="true" outlineLevel="0" collapsed="false">
      <c r="A88" s="5" t="n">
        <v>87</v>
      </c>
      <c r="B88" s="7" t="n">
        <v>3972294</v>
      </c>
      <c r="C88" s="10" t="n">
        <f aca="false">B88-B87</f>
        <v>374502</v>
      </c>
    </row>
    <row r="89" customFormat="false" ht="18" hidden="false" customHeight="true" outlineLevel="0" collapsed="false">
      <c r="A89" s="6" t="n">
        <v>88</v>
      </c>
      <c r="B89" s="8" t="n">
        <v>4385776</v>
      </c>
      <c r="C89" s="9" t="n">
        <f aca="false">B89-B88</f>
        <v>413482</v>
      </c>
    </row>
    <row r="90" customFormat="false" ht="18" hidden="false" customHeight="true" outlineLevel="0" collapsed="false">
      <c r="A90" s="5" t="n">
        <v>89</v>
      </c>
      <c r="B90" s="7" t="n">
        <v>4842295</v>
      </c>
      <c r="C90" s="10" t="n">
        <f aca="false">B90-B89</f>
        <v>456519</v>
      </c>
    </row>
    <row r="91" customFormat="false" ht="18" hidden="false" customHeight="true" outlineLevel="0" collapsed="false">
      <c r="A91" s="6" t="n">
        <v>90</v>
      </c>
      <c r="B91" s="8" t="n">
        <v>5346332</v>
      </c>
      <c r="C91" s="9" t="n">
        <f aca="false">B91-B90</f>
        <v>504037</v>
      </c>
    </row>
    <row r="92" customFormat="false" ht="18" hidden="false" customHeight="true" outlineLevel="0" collapsed="false">
      <c r="A92" s="5" t="n">
        <v>91</v>
      </c>
      <c r="B92" s="7" t="n">
        <v>5902831</v>
      </c>
      <c r="C92" s="10" t="n">
        <f aca="false">B92-B91</f>
        <v>556499</v>
      </c>
    </row>
    <row r="93" customFormat="false" ht="18" hidden="false" customHeight="true" outlineLevel="0" collapsed="false">
      <c r="A93" s="6" t="n">
        <v>92</v>
      </c>
      <c r="B93" s="8" t="n">
        <v>6517253</v>
      </c>
      <c r="C93" s="9" t="n">
        <f aca="false">B93-B92</f>
        <v>614422</v>
      </c>
    </row>
    <row r="94" customFormat="false" ht="18" hidden="false" customHeight="true" outlineLevel="0" collapsed="false">
      <c r="A94" s="5" t="n">
        <v>93</v>
      </c>
      <c r="B94" s="7" t="n">
        <v>7195629</v>
      </c>
      <c r="C94" s="10" t="n">
        <f aca="false">B94-B93</f>
        <v>678376</v>
      </c>
    </row>
    <row r="95" customFormat="false" ht="18" hidden="false" customHeight="true" outlineLevel="0" collapsed="false">
      <c r="A95" s="6" t="n">
        <v>94</v>
      </c>
      <c r="B95" s="8" t="n">
        <v>7944614</v>
      </c>
      <c r="C95" s="9" t="n">
        <f aca="false">B95-B94</f>
        <v>748985</v>
      </c>
    </row>
    <row r="96" customFormat="false" ht="18" hidden="false" customHeight="true" outlineLevel="0" collapsed="false">
      <c r="A96" s="5" t="n">
        <v>95</v>
      </c>
      <c r="B96" s="7" t="n">
        <v>8771558</v>
      </c>
      <c r="C96" s="10" t="n">
        <f aca="false">B96-B95</f>
        <v>826944</v>
      </c>
    </row>
    <row r="97" customFormat="false" ht="18" hidden="false" customHeight="true" outlineLevel="0" collapsed="false">
      <c r="A97" s="6" t="n">
        <v>96</v>
      </c>
      <c r="B97" s="8" t="n">
        <v>9684577</v>
      </c>
      <c r="C97" s="9" t="n">
        <f aca="false">B97-B96</f>
        <v>913019</v>
      </c>
    </row>
    <row r="98" customFormat="false" ht="18" hidden="false" customHeight="true" outlineLevel="0" collapsed="false">
      <c r="A98" s="5" t="n">
        <v>97</v>
      </c>
      <c r="B98" s="7" t="n">
        <v>10692629</v>
      </c>
      <c r="C98" s="10" t="n">
        <f aca="false">B98-B97</f>
        <v>1008052</v>
      </c>
    </row>
    <row r="99" customFormat="false" ht="18" hidden="false" customHeight="true" outlineLevel="0" collapsed="false">
      <c r="A99" s="6" t="n">
        <v>98</v>
      </c>
      <c r="B99" s="8" t="n">
        <v>13034431</v>
      </c>
      <c r="C99" s="9" t="n">
        <f aca="false">B99-B98</f>
        <v>2341802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0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8" min="7" style="0" width="12"/>
  </cols>
  <sheetData>
    <row r="1" customFormat="false" ht="21.75" hidden="false" customHeight="true" outlineLevel="0" collapsed="false">
      <c r="A1" s="4" t="s">
        <v>140</v>
      </c>
      <c r="B1" s="4" t="s">
        <v>141</v>
      </c>
      <c r="C1" s="4" t="s">
        <v>142</v>
      </c>
      <c r="D1" s="4" t="s">
        <v>143</v>
      </c>
      <c r="E1" s="4" t="s">
        <v>144</v>
      </c>
      <c r="F1" s="4" t="s">
        <v>145</v>
      </c>
      <c r="G1" s="4" t="s">
        <v>146</v>
      </c>
      <c r="H1" s="4" t="s">
        <v>147</v>
      </c>
    </row>
    <row r="2" customFormat="false" ht="18" hidden="false" customHeight="true" outlineLevel="0" collapsed="false">
      <c r="A2" s="5" t="s">
        <v>93</v>
      </c>
      <c r="B2" s="5" t="n">
        <v>1</v>
      </c>
      <c r="C2" s="5" t="s">
        <v>148</v>
      </c>
      <c r="D2" s="7" t="n">
        <v>0</v>
      </c>
      <c r="E2" s="7" t="n">
        <v>6.2</v>
      </c>
      <c r="F2" s="7" t="n">
        <v>3000</v>
      </c>
      <c r="G2" s="10" t="n">
        <f aca="false">ROUND(3600000/F2,0)</f>
        <v>1200</v>
      </c>
      <c r="H2" s="10" t="n">
        <f aca="false">ROUND(G2*E2,0)</f>
        <v>7440</v>
      </c>
    </row>
    <row r="3" customFormat="false" ht="18" hidden="false" customHeight="true" outlineLevel="0" collapsed="false">
      <c r="A3" s="6" t="s">
        <v>101</v>
      </c>
      <c r="B3" s="6" t="n">
        <v>15</v>
      </c>
      <c r="C3" s="6" t="s">
        <v>149</v>
      </c>
      <c r="D3" s="8" t="n">
        <v>1</v>
      </c>
      <c r="E3" s="8" t="n">
        <v>12.5</v>
      </c>
      <c r="F3" s="8" t="n">
        <v>4000</v>
      </c>
      <c r="G3" s="9" t="n">
        <f aca="false">ROUND(3600000/F3,0)</f>
        <v>900</v>
      </c>
      <c r="H3" s="9" t="n">
        <f aca="false">ROUND(G3*E3,0)</f>
        <v>11250</v>
      </c>
    </row>
    <row r="4" customFormat="false" ht="18" hidden="false" customHeight="true" outlineLevel="0" collapsed="false">
      <c r="A4" s="5" t="s">
        <v>109</v>
      </c>
      <c r="B4" s="5" t="n">
        <v>30</v>
      </c>
      <c r="C4" s="5" t="s">
        <v>150</v>
      </c>
      <c r="D4" s="7" t="n">
        <v>2</v>
      </c>
      <c r="E4" s="7" t="n">
        <v>17.5</v>
      </c>
      <c r="F4" s="7" t="n">
        <v>5500</v>
      </c>
      <c r="G4" s="10" t="n">
        <f aca="false">ROUND(3600000/F4,0)</f>
        <v>655</v>
      </c>
      <c r="H4" s="10" t="n">
        <f aca="false">ROUND(G4*E4,0)</f>
        <v>11463</v>
      </c>
    </row>
    <row r="5" customFormat="false" ht="18" hidden="false" customHeight="true" outlineLevel="0" collapsed="false">
      <c r="A5" s="6" t="s">
        <v>117</v>
      </c>
      <c r="B5" s="6" t="n">
        <v>50</v>
      </c>
      <c r="C5" s="6" t="s">
        <v>151</v>
      </c>
      <c r="D5" s="8" t="n">
        <v>4</v>
      </c>
      <c r="E5" s="8" t="n">
        <v>30</v>
      </c>
      <c r="F5" s="8" t="n">
        <v>7000</v>
      </c>
      <c r="G5" s="9" t="n">
        <f aca="false">ROUND(3600000/F5,0)</f>
        <v>514</v>
      </c>
      <c r="H5" s="9" t="n">
        <f aca="false">ROUND(G5*E5,0)</f>
        <v>15420</v>
      </c>
    </row>
    <row r="6" customFormat="false" ht="18" hidden="false" customHeight="true" outlineLevel="0" collapsed="false">
      <c r="A6" s="5" t="s">
        <v>125</v>
      </c>
      <c r="B6" s="5" t="n">
        <v>70</v>
      </c>
      <c r="C6" s="5" t="s">
        <v>152</v>
      </c>
      <c r="D6" s="7" t="n">
        <v>6</v>
      </c>
      <c r="E6" s="7" t="n">
        <v>37.5</v>
      </c>
      <c r="F6" s="7" t="n">
        <v>9000</v>
      </c>
      <c r="G6" s="10" t="n">
        <f aca="false">ROUND(3600000/F6,0)</f>
        <v>400</v>
      </c>
      <c r="H6" s="10" t="n">
        <f aca="false">ROUND(G6*E6,0)</f>
        <v>15000</v>
      </c>
    </row>
    <row r="7" customFormat="false" ht="18" hidden="false" customHeight="true" outlineLevel="0" collapsed="false">
      <c r="A7" s="6" t="s">
        <v>133</v>
      </c>
      <c r="B7" s="6" t="n">
        <v>85</v>
      </c>
      <c r="C7" s="6" t="s">
        <v>153</v>
      </c>
      <c r="D7" s="8" t="n">
        <v>8</v>
      </c>
      <c r="E7" s="8" t="n">
        <v>50</v>
      </c>
      <c r="F7" s="8" t="n">
        <v>12000</v>
      </c>
      <c r="G7" s="9" t="n">
        <f aca="false">ROUND(3600000/F7,0)</f>
        <v>300</v>
      </c>
      <c r="H7" s="9" t="n">
        <f aca="false">ROUND(G7*E7,0)</f>
        <v>15000</v>
      </c>
    </row>
    <row r="9" customFormat="false" ht="15" hidden="false" customHeight="false" outlineLevel="0" collapsed="false">
      <c r="A9" s="11" t="s">
        <v>154</v>
      </c>
    </row>
    <row r="10" customFormat="false" ht="21.75" hidden="false" customHeight="true" outlineLevel="0" collapsed="false">
      <c r="A10" s="4" t="s">
        <v>155</v>
      </c>
      <c r="B10" s="4" t="s">
        <v>141</v>
      </c>
      <c r="C10" s="4" t="s">
        <v>156</v>
      </c>
      <c r="D10" s="4" t="s">
        <v>157</v>
      </c>
      <c r="E10" s="4" t="s">
        <v>158</v>
      </c>
    </row>
    <row r="11" customFormat="false" ht="18" hidden="false" customHeight="true" outlineLevel="0" collapsed="false">
      <c r="A11" s="5" t="s">
        <v>159</v>
      </c>
      <c r="B11" s="5" t="n">
        <v>15</v>
      </c>
      <c r="C11" s="7" t="n">
        <v>2</v>
      </c>
      <c r="D11" s="7" t="n">
        <v>1</v>
      </c>
      <c r="E11" s="5" t="s">
        <v>160</v>
      </c>
    </row>
    <row r="12" customFormat="false" ht="18" hidden="false" customHeight="true" outlineLevel="0" collapsed="false">
      <c r="A12" s="6" t="s">
        <v>161</v>
      </c>
      <c r="B12" s="6" t="n">
        <v>15</v>
      </c>
      <c r="C12" s="8" t="n">
        <v>2</v>
      </c>
      <c r="D12" s="8" t="n">
        <v>1</v>
      </c>
      <c r="E12" s="6" t="s">
        <v>162</v>
      </c>
    </row>
    <row r="13" customFormat="false" ht="18" hidden="false" customHeight="true" outlineLevel="0" collapsed="false">
      <c r="A13" s="5" t="s">
        <v>163</v>
      </c>
      <c r="B13" s="5" t="n">
        <v>15</v>
      </c>
      <c r="C13" s="7" t="n">
        <v>2</v>
      </c>
      <c r="D13" s="7" t="n">
        <v>1</v>
      </c>
      <c r="E13" s="5" t="s">
        <v>164</v>
      </c>
    </row>
    <row r="14" customFormat="false" ht="18" hidden="false" customHeight="true" outlineLevel="0" collapsed="false">
      <c r="A14" s="6" t="s">
        <v>165</v>
      </c>
      <c r="B14" s="6" t="n">
        <v>30</v>
      </c>
      <c r="C14" s="8" t="n">
        <v>2</v>
      </c>
      <c r="D14" s="8" t="n">
        <v>1</v>
      </c>
      <c r="E14" s="6" t="s">
        <v>166</v>
      </c>
    </row>
    <row r="15" customFormat="false" ht="18" hidden="false" customHeight="true" outlineLevel="0" collapsed="false">
      <c r="A15" s="5" t="s">
        <v>167</v>
      </c>
      <c r="B15" s="5" t="n">
        <v>30</v>
      </c>
      <c r="C15" s="7" t="n">
        <v>2</v>
      </c>
      <c r="D15" s="7" t="n">
        <v>1</v>
      </c>
      <c r="E15" s="5" t="s">
        <v>168</v>
      </c>
    </row>
    <row r="16" customFormat="false" ht="18" hidden="false" customHeight="true" outlineLevel="0" collapsed="false">
      <c r="A16" s="6" t="s">
        <v>169</v>
      </c>
      <c r="B16" s="6" t="n">
        <v>50</v>
      </c>
      <c r="C16" s="8" t="n">
        <v>2</v>
      </c>
      <c r="D16" s="8" t="n">
        <v>1</v>
      </c>
      <c r="E16" s="6" t="s">
        <v>170</v>
      </c>
    </row>
    <row r="17" customFormat="false" ht="18" hidden="false" customHeight="true" outlineLevel="0" collapsed="false">
      <c r="A17" s="5" t="s">
        <v>171</v>
      </c>
      <c r="B17" s="5" t="n">
        <v>50</v>
      </c>
      <c r="C17" s="7" t="n">
        <v>2</v>
      </c>
      <c r="D17" s="7" t="n">
        <v>1</v>
      </c>
      <c r="E17" s="5" t="s">
        <v>172</v>
      </c>
    </row>
    <row r="18" customFormat="false" ht="18" hidden="false" customHeight="true" outlineLevel="0" collapsed="false">
      <c r="A18" s="6" t="s">
        <v>173</v>
      </c>
      <c r="B18" s="6" t="n">
        <v>85</v>
      </c>
      <c r="C18" s="8" t="n">
        <v>2</v>
      </c>
      <c r="D18" s="8" t="n">
        <v>1</v>
      </c>
      <c r="E18" s="6" t="s">
        <v>174</v>
      </c>
    </row>
    <row r="19" customFormat="false" ht="18" hidden="false" customHeight="true" outlineLevel="0" collapsed="false">
      <c r="A19" s="5" t="s">
        <v>175</v>
      </c>
      <c r="B19" s="5" t="n">
        <v>85</v>
      </c>
      <c r="C19" s="7" t="n">
        <v>3</v>
      </c>
      <c r="D19" s="7" t="n">
        <v>1</v>
      </c>
      <c r="E19" s="5" t="s">
        <v>176</v>
      </c>
    </row>
    <row r="20" customFormat="false" ht="18" hidden="false" customHeight="true" outlineLevel="0" collapsed="false">
      <c r="A20" s="6" t="s">
        <v>177</v>
      </c>
      <c r="B20" s="6" t="n">
        <v>95</v>
      </c>
      <c r="C20" s="8" t="n">
        <v>3</v>
      </c>
      <c r="D20" s="8" t="n">
        <v>1</v>
      </c>
      <c r="E20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4" t="s">
        <v>179</v>
      </c>
      <c r="B1" s="4" t="s">
        <v>180</v>
      </c>
      <c r="C1" s="4" t="s">
        <v>142</v>
      </c>
      <c r="D1" s="4" t="s">
        <v>181</v>
      </c>
      <c r="E1" s="4" t="s">
        <v>182</v>
      </c>
    </row>
    <row r="2" customFormat="false" ht="18" hidden="false" customHeight="true" outlineLevel="0" collapsed="false">
      <c r="A2" s="5" t="s">
        <v>183</v>
      </c>
      <c r="B2" s="5" t="n">
        <v>1</v>
      </c>
      <c r="C2" s="5" t="s">
        <v>184</v>
      </c>
      <c r="D2" s="7" t="n">
        <v>4</v>
      </c>
      <c r="E2" s="5" t="s">
        <v>185</v>
      </c>
    </row>
    <row r="3" customFormat="false" ht="18" hidden="false" customHeight="true" outlineLevel="0" collapsed="false">
      <c r="A3" s="6" t="s">
        <v>186</v>
      </c>
      <c r="B3" s="6" t="n">
        <v>15</v>
      </c>
      <c r="C3" s="6" t="s">
        <v>187</v>
      </c>
      <c r="D3" s="8" t="n">
        <v>8</v>
      </c>
      <c r="E3" s="6" t="s">
        <v>188</v>
      </c>
    </row>
    <row r="4" customFormat="false" ht="18" hidden="false" customHeight="true" outlineLevel="0" collapsed="false">
      <c r="A4" s="5" t="s">
        <v>189</v>
      </c>
      <c r="B4" s="5" t="n">
        <v>5</v>
      </c>
      <c r="C4" s="5" t="s">
        <v>190</v>
      </c>
      <c r="D4" s="7" t="n">
        <v>15</v>
      </c>
      <c r="E4" s="5" t="s">
        <v>191</v>
      </c>
    </row>
    <row r="5" customFormat="false" ht="18" hidden="false" customHeight="true" outlineLevel="0" collapsed="false">
      <c r="A5" s="6" t="s">
        <v>192</v>
      </c>
      <c r="B5" s="6" t="n">
        <v>25</v>
      </c>
      <c r="C5" s="6" t="s">
        <v>193</v>
      </c>
      <c r="D5" s="8" t="n">
        <v>32</v>
      </c>
      <c r="E5" s="6" t="s">
        <v>194</v>
      </c>
    </row>
    <row r="6" customFormat="false" ht="18" hidden="false" customHeight="true" outlineLevel="0" collapsed="false">
      <c r="A6" s="5" t="s">
        <v>195</v>
      </c>
      <c r="B6" s="5" t="n">
        <v>45</v>
      </c>
      <c r="C6" s="5" t="s">
        <v>196</v>
      </c>
      <c r="D6" s="7" t="n">
        <v>75</v>
      </c>
      <c r="E6" s="5" t="s">
        <v>197</v>
      </c>
    </row>
    <row r="7" customFormat="false" ht="18" hidden="false" customHeight="true" outlineLevel="0" collapsed="false">
      <c r="A7" s="6" t="s">
        <v>198</v>
      </c>
      <c r="B7" s="6" t="n">
        <v>60</v>
      </c>
      <c r="C7" s="6" t="s">
        <v>199</v>
      </c>
      <c r="D7" s="8" t="n">
        <v>110</v>
      </c>
      <c r="E7" s="6" t="s">
        <v>200</v>
      </c>
    </row>
    <row r="8" customFormat="false" ht="18" hidden="false" customHeight="true" outlineLevel="0" collapsed="false">
      <c r="A8" s="5" t="s">
        <v>201</v>
      </c>
      <c r="B8" s="5" t="n">
        <v>75</v>
      </c>
      <c r="C8" s="5" t="s">
        <v>202</v>
      </c>
      <c r="D8" s="7" t="n">
        <v>180</v>
      </c>
      <c r="E8" s="5" t="s">
        <v>203</v>
      </c>
    </row>
    <row r="9" customFormat="false" ht="18" hidden="false" customHeight="true" outlineLevel="0" collapsed="false">
      <c r="A9" s="6" t="s">
        <v>204</v>
      </c>
      <c r="B9" s="6" t="n">
        <v>95</v>
      </c>
      <c r="C9" s="6" t="s">
        <v>205</v>
      </c>
      <c r="D9" s="8" t="n">
        <v>450</v>
      </c>
      <c r="E9" s="6" t="s">
        <v>206</v>
      </c>
    </row>
    <row r="10" customFormat="false" ht="15" hidden="false" customHeight="false" outlineLevel="0" collapsed="false">
      <c r="A10" s="11" t="s">
        <v>207</v>
      </c>
    </row>
    <row r="11" customFormat="false" ht="21.75" hidden="false" customHeight="true" outlineLevel="0" collapsed="false">
      <c r="A11" s="4" t="s">
        <v>155</v>
      </c>
      <c r="B11" s="4" t="s">
        <v>180</v>
      </c>
      <c r="C11" s="4" t="s">
        <v>208</v>
      </c>
      <c r="D11" s="4" t="s">
        <v>209</v>
      </c>
      <c r="E11" s="4" t="s">
        <v>210</v>
      </c>
      <c r="F11" s="4" t="s">
        <v>211</v>
      </c>
    </row>
    <row r="12" customFormat="false" ht="18" hidden="false" customHeight="true" outlineLevel="0" collapsed="false">
      <c r="A12" s="5" t="s">
        <v>212</v>
      </c>
      <c r="B12" s="5" t="n">
        <v>20</v>
      </c>
      <c r="C12" s="5" t="s">
        <v>213</v>
      </c>
      <c r="D12" s="5" t="s">
        <v>214</v>
      </c>
      <c r="E12" s="5" t="s">
        <v>215</v>
      </c>
      <c r="F12" s="5" t="s">
        <v>216</v>
      </c>
    </row>
    <row r="13" customFormat="false" ht="18" hidden="false" customHeight="true" outlineLevel="0" collapsed="false">
      <c r="A13" s="6" t="s">
        <v>217</v>
      </c>
      <c r="B13" s="6" t="n">
        <v>40</v>
      </c>
      <c r="C13" s="6" t="s">
        <v>218</v>
      </c>
      <c r="D13" s="6" t="s">
        <v>219</v>
      </c>
      <c r="E13" s="6" t="s">
        <v>220</v>
      </c>
      <c r="F13" s="6" t="s">
        <v>216</v>
      </c>
    </row>
    <row r="14" customFormat="false" ht="18" hidden="false" customHeight="true" outlineLevel="0" collapsed="false">
      <c r="A14" s="5" t="s">
        <v>221</v>
      </c>
      <c r="B14" s="5" t="n">
        <v>60</v>
      </c>
      <c r="C14" s="5" t="s">
        <v>222</v>
      </c>
      <c r="D14" s="5" t="s">
        <v>223</v>
      </c>
      <c r="E14" s="5" t="s">
        <v>224</v>
      </c>
      <c r="F14" s="5" t="s">
        <v>216</v>
      </c>
    </row>
    <row r="15" customFormat="false" ht="18" hidden="false" customHeight="true" outlineLevel="0" collapsed="false">
      <c r="A15" s="6" t="s">
        <v>225</v>
      </c>
      <c r="B15" s="6" t="n">
        <v>25</v>
      </c>
      <c r="C15" s="6" t="s">
        <v>226</v>
      </c>
      <c r="D15" s="6" t="s">
        <v>227</v>
      </c>
      <c r="E15" s="6" t="s">
        <v>228</v>
      </c>
      <c r="F15" s="6" t="s">
        <v>229</v>
      </c>
    </row>
    <row r="16" customFormat="false" ht="18" hidden="false" customHeight="true" outlineLevel="0" collapsed="false">
      <c r="A16" s="5" t="s">
        <v>230</v>
      </c>
      <c r="B16" s="5" t="n">
        <v>50</v>
      </c>
      <c r="C16" s="5" t="s">
        <v>231</v>
      </c>
      <c r="D16" s="5" t="s">
        <v>232</v>
      </c>
      <c r="E16" s="5" t="s">
        <v>233</v>
      </c>
      <c r="F16" s="5" t="s">
        <v>229</v>
      </c>
    </row>
    <row r="17" customFormat="false" ht="18" hidden="false" customHeight="true" outlineLevel="0" collapsed="false">
      <c r="A17" s="6" t="s">
        <v>234</v>
      </c>
      <c r="B17" s="6" t="n">
        <v>55</v>
      </c>
      <c r="C17" s="6" t="s">
        <v>231</v>
      </c>
      <c r="D17" s="6" t="s">
        <v>235</v>
      </c>
      <c r="E17" s="6" t="s">
        <v>236</v>
      </c>
      <c r="F17" s="6" t="s">
        <v>237</v>
      </c>
    </row>
    <row r="18" customFormat="false" ht="18" hidden="false" customHeight="true" outlineLevel="0" collapsed="false">
      <c r="A18" s="5" t="s">
        <v>238</v>
      </c>
      <c r="B18" s="5" t="n">
        <v>92</v>
      </c>
      <c r="C18" s="5" t="s">
        <v>239</v>
      </c>
      <c r="D18" s="5" t="s">
        <v>240</v>
      </c>
      <c r="E18" s="5" t="s">
        <v>241</v>
      </c>
      <c r="F18" s="5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38"/>
  </cols>
  <sheetData>
    <row r="1" customFormat="false" ht="21.75" hidden="false" customHeight="true" outlineLevel="0" collapsed="false">
      <c r="A1" s="4" t="s">
        <v>242</v>
      </c>
      <c r="B1" s="4" t="s">
        <v>243</v>
      </c>
      <c r="C1" s="4" t="s">
        <v>142</v>
      </c>
      <c r="D1" s="4" t="s">
        <v>179</v>
      </c>
      <c r="E1" s="4" t="s">
        <v>244</v>
      </c>
      <c r="F1" s="4" t="s">
        <v>245</v>
      </c>
    </row>
    <row r="2" customFormat="false" ht="18" hidden="false" customHeight="true" outlineLevel="0" collapsed="false">
      <c r="A2" s="5" t="s">
        <v>246</v>
      </c>
      <c r="B2" s="5" t="n">
        <v>1</v>
      </c>
      <c r="C2" s="5" t="s">
        <v>247</v>
      </c>
      <c r="D2" s="5" t="s">
        <v>94</v>
      </c>
      <c r="E2" s="7" t="n">
        <v>3</v>
      </c>
      <c r="F2" s="5"/>
    </row>
    <row r="3" customFormat="false" ht="18" hidden="false" customHeight="true" outlineLevel="0" collapsed="false">
      <c r="A3" s="6" t="s">
        <v>248</v>
      </c>
      <c r="B3" s="6" t="n">
        <v>20</v>
      </c>
      <c r="C3" s="6" t="s">
        <v>249</v>
      </c>
      <c r="D3" s="6" t="s">
        <v>250</v>
      </c>
      <c r="E3" s="8" t="n">
        <v>12</v>
      </c>
      <c r="F3" s="6"/>
    </row>
    <row r="4" customFormat="false" ht="18" hidden="false" customHeight="true" outlineLevel="0" collapsed="false">
      <c r="A4" s="5" t="s">
        <v>251</v>
      </c>
      <c r="B4" s="5" t="n">
        <v>40</v>
      </c>
      <c r="C4" s="5" t="s">
        <v>252</v>
      </c>
      <c r="D4" s="5" t="s">
        <v>251</v>
      </c>
      <c r="E4" s="7" t="n">
        <v>22</v>
      </c>
      <c r="F4" s="5" t="s">
        <v>253</v>
      </c>
    </row>
    <row r="5" customFormat="false" ht="18" hidden="false" customHeight="true" outlineLevel="0" collapsed="false">
      <c r="A5" s="6" t="s">
        <v>254</v>
      </c>
      <c r="B5" s="6" t="n">
        <v>50</v>
      </c>
      <c r="C5" s="6" t="s">
        <v>255</v>
      </c>
      <c r="D5" s="6" t="s">
        <v>256</v>
      </c>
      <c r="E5" s="8" t="n">
        <v>28</v>
      </c>
      <c r="F5" s="6" t="s">
        <v>257</v>
      </c>
    </row>
    <row r="6" customFormat="false" ht="18" hidden="false" customHeight="true" outlineLevel="0" collapsed="false">
      <c r="A6" s="5" t="s">
        <v>258</v>
      </c>
      <c r="B6" s="5" t="n">
        <v>70</v>
      </c>
      <c r="C6" s="5" t="s">
        <v>259</v>
      </c>
      <c r="D6" s="5" t="s">
        <v>260</v>
      </c>
      <c r="E6" s="7" t="n">
        <v>0</v>
      </c>
      <c r="F6" s="5" t="s">
        <v>261</v>
      </c>
    </row>
    <row r="7" customFormat="false" ht="18" hidden="false" customHeight="true" outlineLevel="0" collapsed="false">
      <c r="A7" s="6" t="s">
        <v>262</v>
      </c>
      <c r="B7" s="6" t="n">
        <v>95</v>
      </c>
      <c r="C7" s="6" t="s">
        <v>263</v>
      </c>
      <c r="D7" s="6" t="s">
        <v>262</v>
      </c>
      <c r="E7" s="8" t="n">
        <v>999</v>
      </c>
      <c r="F7" s="6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1" t="s">
        <v>265</v>
      </c>
    </row>
    <row r="2" customFormat="false" ht="21.75" hidden="false" customHeight="true" outlineLevel="0" collapsed="false">
      <c r="A2" s="4" t="s">
        <v>80</v>
      </c>
      <c r="B2" s="4" t="s">
        <v>266</v>
      </c>
      <c r="C2" s="4" t="s">
        <v>141</v>
      </c>
      <c r="D2" s="4" t="s">
        <v>267</v>
      </c>
      <c r="E2" s="4" t="s">
        <v>268</v>
      </c>
      <c r="F2" s="4" t="s">
        <v>269</v>
      </c>
      <c r="G2" s="4" t="s">
        <v>270</v>
      </c>
      <c r="H2" s="4" t="s">
        <v>271</v>
      </c>
    </row>
    <row r="3" customFormat="false" ht="18" hidden="false" customHeight="true" outlineLevel="0" collapsed="false">
      <c r="A3" s="5" t="s">
        <v>272</v>
      </c>
      <c r="B3" s="5" t="s">
        <v>273</v>
      </c>
      <c r="C3" s="5" t="n">
        <v>1</v>
      </c>
      <c r="D3" s="5" t="n">
        <v>1</v>
      </c>
      <c r="E3" s="7" t="n">
        <v>2</v>
      </c>
      <c r="F3" s="5" t="s">
        <v>274</v>
      </c>
      <c r="G3" s="12" t="n">
        <v>0</v>
      </c>
      <c r="H3" s="5" t="s">
        <v>275</v>
      </c>
    </row>
    <row r="4" customFormat="false" ht="18" hidden="false" customHeight="true" outlineLevel="0" collapsed="false">
      <c r="A4" s="6" t="s">
        <v>276</v>
      </c>
      <c r="B4" s="6" t="s">
        <v>159</v>
      </c>
      <c r="C4" s="6" t="n">
        <v>15</v>
      </c>
      <c r="D4" s="6" t="n">
        <v>15</v>
      </c>
      <c r="E4" s="8" t="n">
        <v>2</v>
      </c>
      <c r="F4" s="6" t="s">
        <v>277</v>
      </c>
      <c r="G4" s="13" t="n">
        <v>0.25</v>
      </c>
      <c r="H4" s="6"/>
    </row>
    <row r="5" customFormat="false" ht="18" hidden="false" customHeight="true" outlineLevel="0" collapsed="false">
      <c r="A5" s="5" t="s">
        <v>278</v>
      </c>
      <c r="B5" s="5" t="s">
        <v>165</v>
      </c>
      <c r="C5" s="5" t="n">
        <v>30</v>
      </c>
      <c r="D5" s="5" t="n">
        <v>30</v>
      </c>
      <c r="E5" s="7" t="n">
        <v>2</v>
      </c>
      <c r="F5" s="5" t="s">
        <v>279</v>
      </c>
      <c r="G5" s="12" t="n">
        <v>0.5</v>
      </c>
      <c r="H5" s="5" t="s">
        <v>280</v>
      </c>
    </row>
    <row r="6" customFormat="false" ht="18" hidden="false" customHeight="true" outlineLevel="0" collapsed="false">
      <c r="A6" s="6" t="s">
        <v>281</v>
      </c>
      <c r="B6" s="6" t="s">
        <v>169</v>
      </c>
      <c r="C6" s="6" t="n">
        <v>50</v>
      </c>
      <c r="D6" s="6" t="n">
        <v>50</v>
      </c>
      <c r="E6" s="8" t="n">
        <v>2</v>
      </c>
      <c r="F6" s="6" t="s">
        <v>282</v>
      </c>
      <c r="G6" s="13" t="n">
        <v>0.75</v>
      </c>
      <c r="H6" s="6" t="s">
        <v>283</v>
      </c>
    </row>
    <row r="7" customFormat="false" ht="18" hidden="false" customHeight="true" outlineLevel="0" collapsed="false">
      <c r="A7" s="5" t="s">
        <v>284</v>
      </c>
      <c r="B7" s="5" t="s">
        <v>285</v>
      </c>
      <c r="C7" s="5" t="n">
        <v>70</v>
      </c>
      <c r="D7" s="5" t="n">
        <v>70</v>
      </c>
      <c r="E7" s="7" t="n">
        <v>2</v>
      </c>
      <c r="F7" s="5" t="s">
        <v>286</v>
      </c>
      <c r="G7" s="12" t="n">
        <v>1</v>
      </c>
      <c r="H7" s="5" t="s">
        <v>287</v>
      </c>
    </row>
    <row r="8" customFormat="false" ht="18" hidden="false" customHeight="true" outlineLevel="0" collapsed="false">
      <c r="A8" s="6" t="s">
        <v>288</v>
      </c>
      <c r="B8" s="6" t="s">
        <v>173</v>
      </c>
      <c r="C8" s="6" t="n">
        <v>85</v>
      </c>
      <c r="D8" s="6" t="n">
        <v>85</v>
      </c>
      <c r="E8" s="8" t="n">
        <v>2</v>
      </c>
      <c r="F8" s="6" t="s">
        <v>48</v>
      </c>
      <c r="G8" s="13" t="n">
        <v>1.25</v>
      </c>
      <c r="H8" s="6" t="s">
        <v>289</v>
      </c>
    </row>
    <row r="9" customFormat="false" ht="18" hidden="false" customHeight="true" outlineLevel="0" collapsed="false">
      <c r="A9" s="5" t="s">
        <v>290</v>
      </c>
      <c r="B9" s="5" t="s">
        <v>291</v>
      </c>
      <c r="C9" s="5" t="n">
        <v>95</v>
      </c>
      <c r="D9" s="5" t="n">
        <v>95</v>
      </c>
      <c r="E9" s="7" t="n">
        <v>1</v>
      </c>
      <c r="F9" s="5" t="s">
        <v>48</v>
      </c>
      <c r="G9" s="12" t="n">
        <v>1.5</v>
      </c>
      <c r="H9" s="5" t="s">
        <v>292</v>
      </c>
    </row>
    <row r="11" customFormat="false" ht="15" hidden="false" customHeight="false" outlineLevel="0" collapsed="false">
      <c r="A11" s="11" t="s">
        <v>293</v>
      </c>
    </row>
    <row r="12" customFormat="false" ht="21.75" hidden="false" customHeight="true" outlineLevel="0" collapsed="false">
      <c r="A12" s="4" t="s">
        <v>80</v>
      </c>
      <c r="B12" s="4" t="s">
        <v>266</v>
      </c>
      <c r="C12" s="4" t="s">
        <v>141</v>
      </c>
      <c r="D12" s="4" t="s">
        <v>267</v>
      </c>
      <c r="E12" s="4" t="s">
        <v>268</v>
      </c>
      <c r="F12" s="4" t="s">
        <v>269</v>
      </c>
      <c r="G12" s="4" t="s">
        <v>270</v>
      </c>
      <c r="H12" s="4" t="s">
        <v>271</v>
      </c>
    </row>
    <row r="13" customFormat="false" ht="18" hidden="false" customHeight="true" outlineLevel="0" collapsed="false">
      <c r="A13" s="5" t="s">
        <v>272</v>
      </c>
      <c r="B13" s="5" t="s">
        <v>294</v>
      </c>
      <c r="C13" s="5" t="n">
        <v>1</v>
      </c>
      <c r="D13" s="5" t="n">
        <v>1</v>
      </c>
      <c r="E13" s="7" t="n">
        <v>1</v>
      </c>
      <c r="F13" s="5" t="s">
        <v>274</v>
      </c>
      <c r="G13" s="12" t="n">
        <v>0</v>
      </c>
      <c r="H13" s="5" t="s">
        <v>295</v>
      </c>
    </row>
    <row r="14" customFormat="false" ht="18" hidden="false" customHeight="true" outlineLevel="0" collapsed="false">
      <c r="A14" s="6" t="s">
        <v>276</v>
      </c>
      <c r="B14" s="6" t="s">
        <v>296</v>
      </c>
      <c r="C14" s="6" t="n">
        <v>15</v>
      </c>
      <c r="D14" s="6" t="n">
        <v>15</v>
      </c>
      <c r="E14" s="8" t="n">
        <v>1</v>
      </c>
      <c r="F14" s="6" t="s">
        <v>277</v>
      </c>
      <c r="G14" s="13" t="n">
        <v>0.25</v>
      </c>
      <c r="H14" s="6"/>
    </row>
    <row r="15" customFormat="false" ht="18" hidden="false" customHeight="true" outlineLevel="0" collapsed="false">
      <c r="A15" s="5" t="s">
        <v>278</v>
      </c>
      <c r="B15" s="5" t="s">
        <v>297</v>
      </c>
      <c r="C15" s="5" t="n">
        <v>30</v>
      </c>
      <c r="D15" s="5" t="n">
        <v>30</v>
      </c>
      <c r="E15" s="7" t="n">
        <v>1</v>
      </c>
      <c r="F15" s="5" t="s">
        <v>279</v>
      </c>
      <c r="G15" s="12" t="n">
        <v>0.5</v>
      </c>
      <c r="H15" s="5"/>
    </row>
    <row r="16" customFormat="false" ht="18" hidden="false" customHeight="true" outlineLevel="0" collapsed="false">
      <c r="A16" s="6" t="s">
        <v>281</v>
      </c>
      <c r="B16" s="6" t="s">
        <v>298</v>
      </c>
      <c r="C16" s="6" t="n">
        <v>50</v>
      </c>
      <c r="D16" s="6" t="n">
        <v>50</v>
      </c>
      <c r="E16" s="8" t="n">
        <v>1</v>
      </c>
      <c r="F16" s="6" t="s">
        <v>282</v>
      </c>
      <c r="G16" s="13" t="n">
        <v>0.75</v>
      </c>
      <c r="H16" s="6" t="s">
        <v>299</v>
      </c>
    </row>
    <row r="17" customFormat="false" ht="18" hidden="false" customHeight="true" outlineLevel="0" collapsed="false">
      <c r="A17" s="5" t="s">
        <v>284</v>
      </c>
      <c r="B17" s="5" t="s">
        <v>300</v>
      </c>
      <c r="C17" s="5" t="n">
        <v>70</v>
      </c>
      <c r="D17" s="5" t="n">
        <v>70</v>
      </c>
      <c r="E17" s="7" t="n">
        <v>1</v>
      </c>
      <c r="F17" s="5" t="s">
        <v>286</v>
      </c>
      <c r="G17" s="12" t="n">
        <v>1</v>
      </c>
      <c r="H17" s="5"/>
    </row>
    <row r="18" customFormat="false" ht="18" hidden="false" customHeight="true" outlineLevel="0" collapsed="false">
      <c r="A18" s="6" t="s">
        <v>288</v>
      </c>
      <c r="B18" s="6" t="s">
        <v>301</v>
      </c>
      <c r="C18" s="6" t="n">
        <v>85</v>
      </c>
      <c r="D18" s="6" t="n">
        <v>85</v>
      </c>
      <c r="E18" s="8" t="n">
        <v>1</v>
      </c>
      <c r="F18" s="6" t="s">
        <v>48</v>
      </c>
      <c r="G18" s="13" t="n">
        <v>1.25</v>
      </c>
      <c r="H18" s="6" t="s">
        <v>302</v>
      </c>
    </row>
    <row r="19" customFormat="false" ht="18" hidden="false" customHeight="true" outlineLevel="0" collapsed="false">
      <c r="A19" s="5" t="s">
        <v>290</v>
      </c>
      <c r="B19" s="5" t="s">
        <v>303</v>
      </c>
      <c r="C19" s="5" t="n">
        <v>95</v>
      </c>
      <c r="D19" s="5" t="n">
        <v>95</v>
      </c>
      <c r="E19" s="7" t="n">
        <v>1</v>
      </c>
      <c r="F19" s="5" t="s">
        <v>48</v>
      </c>
      <c r="G19" s="12" t="n">
        <v>1.5</v>
      </c>
      <c r="H19" s="5" t="s">
        <v>304</v>
      </c>
    </row>
    <row r="21" customFormat="false" ht="15" hidden="false" customHeight="false" outlineLevel="0" collapsed="false">
      <c r="A21" s="11" t="s">
        <v>305</v>
      </c>
    </row>
    <row r="22" customFormat="false" ht="21.75" hidden="false" customHeight="true" outlineLevel="0" collapsed="false">
      <c r="A22" s="4" t="s">
        <v>80</v>
      </c>
      <c r="B22" s="4" t="s">
        <v>266</v>
      </c>
      <c r="C22" s="4" t="s">
        <v>141</v>
      </c>
      <c r="D22" s="4" t="s">
        <v>267</v>
      </c>
      <c r="E22" s="4" t="s">
        <v>268</v>
      </c>
      <c r="F22" s="4" t="s">
        <v>269</v>
      </c>
      <c r="G22" s="4" t="s">
        <v>306</v>
      </c>
      <c r="H22" s="4" t="s">
        <v>307</v>
      </c>
    </row>
    <row r="23" customFormat="false" ht="18" hidden="false" customHeight="true" outlineLevel="0" collapsed="false">
      <c r="A23" s="5" t="s">
        <v>272</v>
      </c>
      <c r="B23" s="5" t="s">
        <v>308</v>
      </c>
      <c r="C23" s="5" t="n">
        <v>1</v>
      </c>
      <c r="D23" s="5" t="n">
        <v>1</v>
      </c>
      <c r="E23" s="7" t="n">
        <v>2</v>
      </c>
      <c r="F23" s="5" t="s">
        <v>274</v>
      </c>
      <c r="G23" s="12" t="n">
        <v>0</v>
      </c>
      <c r="H23" s="12" t="n">
        <v>0</v>
      </c>
    </row>
    <row r="24" customFormat="false" ht="18" hidden="false" customHeight="true" outlineLevel="0" collapsed="false">
      <c r="A24" s="6" t="s">
        <v>276</v>
      </c>
      <c r="B24" s="6" t="s">
        <v>161</v>
      </c>
      <c r="C24" s="6" t="n">
        <v>15</v>
      </c>
      <c r="D24" s="6" t="n">
        <v>15</v>
      </c>
      <c r="E24" s="8" t="n">
        <v>2</v>
      </c>
      <c r="F24" s="6" t="s">
        <v>277</v>
      </c>
      <c r="G24" s="13" t="n">
        <v>0.05</v>
      </c>
      <c r="H24" s="13" t="n">
        <v>0</v>
      </c>
    </row>
    <row r="25" customFormat="false" ht="18" hidden="false" customHeight="true" outlineLevel="0" collapsed="false">
      <c r="A25" s="5" t="s">
        <v>278</v>
      </c>
      <c r="B25" s="5" t="s">
        <v>167</v>
      </c>
      <c r="C25" s="5" t="n">
        <v>30</v>
      </c>
      <c r="D25" s="5" t="n">
        <v>30</v>
      </c>
      <c r="E25" s="7" t="n">
        <v>2</v>
      </c>
      <c r="F25" s="5" t="s">
        <v>279</v>
      </c>
      <c r="G25" s="12" t="n">
        <v>0.1</v>
      </c>
      <c r="H25" s="12" t="n">
        <v>0.05</v>
      </c>
    </row>
    <row r="26" customFormat="false" ht="18" hidden="false" customHeight="true" outlineLevel="0" collapsed="false">
      <c r="A26" s="6" t="s">
        <v>281</v>
      </c>
      <c r="B26" s="6" t="s">
        <v>171</v>
      </c>
      <c r="C26" s="6" t="n">
        <v>50</v>
      </c>
      <c r="D26" s="6" t="n">
        <v>50</v>
      </c>
      <c r="E26" s="8" t="n">
        <v>2</v>
      </c>
      <c r="F26" s="6" t="s">
        <v>282</v>
      </c>
      <c r="G26" s="13" t="n">
        <v>0.15</v>
      </c>
      <c r="H26" s="13" t="n">
        <v>0.1</v>
      </c>
    </row>
    <row r="27" customFormat="false" ht="18" hidden="false" customHeight="true" outlineLevel="0" collapsed="false">
      <c r="A27" s="5" t="s">
        <v>284</v>
      </c>
      <c r="B27" s="5" t="s">
        <v>309</v>
      </c>
      <c r="C27" s="5" t="n">
        <v>70</v>
      </c>
      <c r="D27" s="5" t="n">
        <v>70</v>
      </c>
      <c r="E27" s="7" t="n">
        <v>3</v>
      </c>
      <c r="F27" s="5" t="s">
        <v>286</v>
      </c>
      <c r="G27" s="12" t="n">
        <v>0.2</v>
      </c>
      <c r="H27" s="12" t="n">
        <v>0.15</v>
      </c>
    </row>
    <row r="28" customFormat="false" ht="18" hidden="false" customHeight="true" outlineLevel="0" collapsed="false">
      <c r="A28" s="6" t="s">
        <v>288</v>
      </c>
      <c r="B28" s="6" t="s">
        <v>175</v>
      </c>
      <c r="C28" s="6" t="n">
        <v>85</v>
      </c>
      <c r="D28" s="6" t="n">
        <v>85</v>
      </c>
      <c r="E28" s="8" t="n">
        <v>3</v>
      </c>
      <c r="F28" s="6" t="s">
        <v>48</v>
      </c>
      <c r="G28" s="13" t="n">
        <v>0.25</v>
      </c>
      <c r="H28" s="13" t="n">
        <v>0.2</v>
      </c>
    </row>
    <row r="29" customFormat="false" ht="18" hidden="false" customHeight="true" outlineLevel="0" collapsed="false">
      <c r="A29" s="5" t="s">
        <v>290</v>
      </c>
      <c r="B29" s="5" t="s">
        <v>177</v>
      </c>
      <c r="C29" s="5" t="n">
        <v>95</v>
      </c>
      <c r="D29" s="5" t="n">
        <v>95</v>
      </c>
      <c r="E29" s="7" t="n">
        <v>3</v>
      </c>
      <c r="F29" s="5" t="s">
        <v>48</v>
      </c>
      <c r="G29" s="12" t="n">
        <v>0.3</v>
      </c>
      <c r="H29" s="12" t="n">
        <v>1</v>
      </c>
    </row>
    <row r="31" customFormat="false" ht="15" hidden="false" customHeight="false" outlineLevel="0" collapsed="false">
      <c r="A31" s="11" t="s">
        <v>310</v>
      </c>
    </row>
    <row r="32" customFormat="false" ht="21.75" hidden="false" customHeight="true" outlineLevel="0" collapsed="false">
      <c r="A32" s="4" t="s">
        <v>23</v>
      </c>
      <c r="B32" s="4" t="s">
        <v>266</v>
      </c>
      <c r="C32" s="4" t="s">
        <v>311</v>
      </c>
      <c r="D32" s="4" t="s">
        <v>312</v>
      </c>
    </row>
    <row r="33" customFormat="false" ht="18" hidden="false" customHeight="true" outlineLevel="0" collapsed="false">
      <c r="A33" s="5" t="s">
        <v>73</v>
      </c>
      <c r="B33" s="5" t="s">
        <v>313</v>
      </c>
      <c r="C33" s="5" t="s">
        <v>314</v>
      </c>
      <c r="D33" s="5" t="s">
        <v>315</v>
      </c>
    </row>
    <row r="34" customFormat="false" ht="18" hidden="false" customHeight="true" outlineLevel="0" collapsed="false">
      <c r="A34" s="6" t="s">
        <v>56</v>
      </c>
      <c r="B34" s="6" t="s">
        <v>316</v>
      </c>
      <c r="C34" s="6" t="s">
        <v>314</v>
      </c>
      <c r="D34" s="6" t="s">
        <v>317</v>
      </c>
    </row>
    <row r="35" customFormat="false" ht="18" hidden="false" customHeight="true" outlineLevel="0" collapsed="false">
      <c r="A35" s="5" t="s">
        <v>48</v>
      </c>
      <c r="B35" s="5" t="s">
        <v>318</v>
      </c>
      <c r="C35" s="5" t="s">
        <v>319</v>
      </c>
      <c r="D35" s="5" t="s">
        <v>320</v>
      </c>
    </row>
    <row r="36" customFormat="false" ht="18" hidden="false" customHeight="true" outlineLevel="0" collapsed="false">
      <c r="A36" s="6" t="s">
        <v>44</v>
      </c>
      <c r="B36" s="6" t="s">
        <v>321</v>
      </c>
      <c r="C36" s="6" t="s">
        <v>314</v>
      </c>
      <c r="D36" s="6" t="s">
        <v>322</v>
      </c>
    </row>
    <row r="37" customFormat="false" ht="18" hidden="false" customHeight="true" outlineLevel="0" collapsed="false">
      <c r="A37" s="5" t="s">
        <v>61</v>
      </c>
      <c r="B37" s="5" t="s">
        <v>323</v>
      </c>
      <c r="C37" s="5" t="s">
        <v>319</v>
      </c>
      <c r="D37" s="5" t="s">
        <v>324</v>
      </c>
    </row>
    <row r="38" customFormat="false" ht="18" hidden="false" customHeight="true" outlineLevel="0" collapsed="false">
      <c r="A38" s="6" t="s">
        <v>65</v>
      </c>
      <c r="B38" s="6" t="s">
        <v>325</v>
      </c>
      <c r="C38" s="6" t="s">
        <v>319</v>
      </c>
      <c r="D38" s="6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</cols>
  <sheetData>
    <row r="1" customFormat="false" ht="21.75" hidden="false" customHeight="true" outlineLevel="0" collapsed="false">
      <c r="A1" s="4" t="s">
        <v>211</v>
      </c>
      <c r="B1" s="4" t="s">
        <v>272</v>
      </c>
      <c r="C1" s="4" t="s">
        <v>276</v>
      </c>
      <c r="D1" s="4" t="s">
        <v>278</v>
      </c>
      <c r="E1" s="4" t="s">
        <v>281</v>
      </c>
      <c r="F1" s="4" t="s">
        <v>284</v>
      </c>
      <c r="G1" s="4" t="s">
        <v>288</v>
      </c>
    </row>
    <row r="2" customFormat="false" ht="18" hidden="false" customHeight="true" outlineLevel="0" collapsed="false">
      <c r="A2" s="5" t="s">
        <v>327</v>
      </c>
      <c r="B2" s="5" t="s">
        <v>328</v>
      </c>
      <c r="C2" s="5" t="s">
        <v>100</v>
      </c>
      <c r="D2" s="5" t="s">
        <v>329</v>
      </c>
      <c r="E2" s="5" t="s">
        <v>116</v>
      </c>
      <c r="F2" s="5" t="s">
        <v>330</v>
      </c>
      <c r="G2" s="5" t="s">
        <v>331</v>
      </c>
    </row>
    <row r="3" customFormat="false" ht="18" hidden="false" customHeight="true" outlineLevel="0" collapsed="false">
      <c r="A3" s="6" t="s">
        <v>332</v>
      </c>
      <c r="B3" s="6" t="s">
        <v>328</v>
      </c>
      <c r="C3" s="6" t="s">
        <v>100</v>
      </c>
      <c r="D3" s="6" t="s">
        <v>329</v>
      </c>
      <c r="E3" s="6" t="s">
        <v>116</v>
      </c>
      <c r="F3" s="6" t="s">
        <v>330</v>
      </c>
      <c r="G3" s="6" t="s">
        <v>331</v>
      </c>
    </row>
    <row r="4" customFormat="false" ht="18" hidden="false" customHeight="true" outlineLevel="0" collapsed="false">
      <c r="A4" s="5" t="s">
        <v>333</v>
      </c>
      <c r="B4" s="5" t="s">
        <v>328</v>
      </c>
      <c r="C4" s="5" t="s">
        <v>100</v>
      </c>
      <c r="D4" s="5" t="s">
        <v>329</v>
      </c>
      <c r="E4" s="5" t="s">
        <v>116</v>
      </c>
      <c r="F4" s="5" t="s">
        <v>330</v>
      </c>
      <c r="G4" s="5" t="s">
        <v>331</v>
      </c>
    </row>
    <row r="5" customFormat="false" ht="18" hidden="false" customHeight="true" outlineLevel="0" collapsed="false">
      <c r="A5" s="6" t="s">
        <v>334</v>
      </c>
      <c r="B5" s="6" t="s">
        <v>328</v>
      </c>
      <c r="C5" s="6" t="s">
        <v>100</v>
      </c>
      <c r="D5" s="6" t="s">
        <v>329</v>
      </c>
      <c r="E5" s="6" t="s">
        <v>116</v>
      </c>
      <c r="F5" s="6" t="s">
        <v>330</v>
      </c>
      <c r="G5" s="6" t="s">
        <v>331</v>
      </c>
    </row>
    <row r="6" customFormat="false" ht="18" hidden="false" customHeight="true" outlineLevel="0" collapsed="false">
      <c r="A6" s="5" t="s">
        <v>335</v>
      </c>
      <c r="B6" s="5" t="s">
        <v>336</v>
      </c>
      <c r="C6" s="5" t="s">
        <v>100</v>
      </c>
      <c r="D6" s="5" t="s">
        <v>329</v>
      </c>
      <c r="E6" s="5" t="s">
        <v>337</v>
      </c>
      <c r="F6" s="5" t="s">
        <v>338</v>
      </c>
      <c r="G6" s="5" t="s">
        <v>339</v>
      </c>
    </row>
    <row r="7" customFormat="false" ht="18" hidden="false" customHeight="true" outlineLevel="0" collapsed="false">
      <c r="A7" s="6" t="s">
        <v>340</v>
      </c>
      <c r="B7" s="6" t="s">
        <v>341</v>
      </c>
      <c r="C7" s="6" t="s">
        <v>342</v>
      </c>
      <c r="D7" s="6" t="s">
        <v>343</v>
      </c>
      <c r="E7" s="6" t="s">
        <v>337</v>
      </c>
      <c r="F7" s="6" t="s">
        <v>338</v>
      </c>
      <c r="G7" s="6" t="s">
        <v>339</v>
      </c>
    </row>
    <row r="8" customFormat="false" ht="18" hidden="false" customHeight="true" outlineLevel="0" collapsed="false">
      <c r="A8" s="5" t="s">
        <v>344</v>
      </c>
      <c r="B8" s="5" t="s">
        <v>345</v>
      </c>
      <c r="C8" s="5" t="s">
        <v>346</v>
      </c>
      <c r="D8" s="5" t="s">
        <v>347</v>
      </c>
      <c r="E8" s="5" t="s">
        <v>348</v>
      </c>
      <c r="F8" s="5" t="s">
        <v>349</v>
      </c>
      <c r="G8" s="5" t="s">
        <v>204</v>
      </c>
    </row>
    <row r="9" customFormat="false" ht="18" hidden="false" customHeight="true" outlineLevel="0" collapsed="false">
      <c r="A9" s="6" t="s">
        <v>350</v>
      </c>
      <c r="B9" s="6" t="s">
        <v>351</v>
      </c>
      <c r="C9" s="6" t="s">
        <v>352</v>
      </c>
      <c r="D9" s="6" t="s">
        <v>329</v>
      </c>
      <c r="E9" s="6" t="s">
        <v>116</v>
      </c>
      <c r="F9" s="6" t="s">
        <v>330</v>
      </c>
      <c r="G9" s="6" t="s">
        <v>353</v>
      </c>
    </row>
    <row r="10" customFormat="false" ht="18" hidden="false" customHeight="true" outlineLevel="0" collapsed="false">
      <c r="A10" s="5" t="s">
        <v>229</v>
      </c>
      <c r="B10" s="5" t="s">
        <v>345</v>
      </c>
      <c r="C10" s="5" t="s">
        <v>347</v>
      </c>
      <c r="D10" s="5" t="s">
        <v>354</v>
      </c>
      <c r="E10" s="5" t="s">
        <v>23</v>
      </c>
      <c r="F10" s="5" t="s">
        <v>355</v>
      </c>
      <c r="G10" s="5" t="s">
        <v>356</v>
      </c>
    </row>
    <row r="11" customFormat="false" ht="18" hidden="false" customHeight="true" outlineLevel="0" collapsed="false">
      <c r="A11" s="6" t="s">
        <v>237</v>
      </c>
      <c r="B11" s="6" t="s">
        <v>345</v>
      </c>
      <c r="C11" s="6" t="s">
        <v>328</v>
      </c>
      <c r="D11" s="6" t="s">
        <v>100</v>
      </c>
      <c r="E11" s="6" t="s">
        <v>357</v>
      </c>
      <c r="F11" s="6" t="s">
        <v>358</v>
      </c>
      <c r="G11" s="6" t="s">
        <v>359</v>
      </c>
    </row>
    <row r="12" customFormat="false" ht="18" hidden="false" customHeight="true" outlineLevel="0" collapsed="false">
      <c r="A12" s="5" t="s">
        <v>360</v>
      </c>
      <c r="B12" s="5" t="s">
        <v>345</v>
      </c>
      <c r="C12" s="5" t="s">
        <v>361</v>
      </c>
      <c r="D12" s="5" t="s">
        <v>362</v>
      </c>
      <c r="E12" s="5" t="s">
        <v>363</v>
      </c>
      <c r="F12" s="5" t="s">
        <v>364</v>
      </c>
      <c r="G12" s="5" t="s">
        <v>365</v>
      </c>
    </row>
    <row r="13" customFormat="false" ht="18" hidden="false" customHeight="true" outlineLevel="0" collapsed="false">
      <c r="A13" s="6" t="s">
        <v>366</v>
      </c>
      <c r="B13" s="6" t="s">
        <v>345</v>
      </c>
      <c r="C13" s="6" t="s">
        <v>328</v>
      </c>
      <c r="D13" s="6" t="s">
        <v>100</v>
      </c>
      <c r="E13" s="6" t="s">
        <v>329</v>
      </c>
      <c r="F13" s="6" t="s">
        <v>330</v>
      </c>
      <c r="G13" s="6" t="s">
        <v>367</v>
      </c>
    </row>
    <row r="14" customFormat="false" ht="18" hidden="false" customHeight="true" outlineLevel="0" collapsed="false">
      <c r="A14" s="5" t="s">
        <v>368</v>
      </c>
      <c r="B14" s="5" t="s">
        <v>345</v>
      </c>
      <c r="C14" s="5" t="s">
        <v>345</v>
      </c>
      <c r="D14" s="5" t="s">
        <v>369</v>
      </c>
      <c r="E14" s="5" t="s">
        <v>370</v>
      </c>
      <c r="F14" s="5" t="s">
        <v>359</v>
      </c>
      <c r="G14" s="5" t="s">
        <v>371</v>
      </c>
    </row>
    <row r="16" customFormat="false" ht="15" hidden="false" customHeight="false" outlineLevel="0" collapsed="false">
      <c r="A16" s="11" t="s">
        <v>372</v>
      </c>
    </row>
    <row r="17" customFormat="false" ht="21.75" hidden="false" customHeight="true" outlineLevel="0" collapsed="false">
      <c r="A17" s="4" t="s">
        <v>373</v>
      </c>
      <c r="B17" s="4" t="s">
        <v>141</v>
      </c>
      <c r="C17" s="4" t="s">
        <v>268</v>
      </c>
      <c r="D17" s="4" t="s">
        <v>269</v>
      </c>
      <c r="E17" s="4" t="s">
        <v>374</v>
      </c>
      <c r="F17" s="4" t="s">
        <v>375</v>
      </c>
      <c r="G17" s="4" t="s">
        <v>376</v>
      </c>
    </row>
    <row r="18" customFormat="false" ht="18" hidden="false" customHeight="true" outlineLevel="0" collapsed="false">
      <c r="A18" s="5" t="s">
        <v>377</v>
      </c>
      <c r="B18" s="5" t="n">
        <v>1</v>
      </c>
      <c r="C18" s="7" t="n">
        <v>2</v>
      </c>
      <c r="D18" s="7" t="n">
        <v>1</v>
      </c>
      <c r="E18" s="7" t="n">
        <v>4</v>
      </c>
      <c r="F18" s="7" t="n">
        <v>3</v>
      </c>
      <c r="G18" s="7" t="n">
        <v>1</v>
      </c>
    </row>
    <row r="19" customFormat="false" ht="18" hidden="false" customHeight="true" outlineLevel="0" collapsed="false">
      <c r="A19" s="6" t="s">
        <v>163</v>
      </c>
      <c r="B19" s="6" t="n">
        <v>15</v>
      </c>
      <c r="C19" s="8" t="n">
        <v>2</v>
      </c>
      <c r="D19" s="8" t="n">
        <v>1</v>
      </c>
      <c r="E19" s="8" t="n">
        <v>7</v>
      </c>
      <c r="F19" s="8" t="n">
        <v>6</v>
      </c>
      <c r="G19" s="8" t="n">
        <v>1</v>
      </c>
    </row>
    <row r="20" customFormat="false" ht="18" hidden="false" customHeight="true" outlineLevel="0" collapsed="false">
      <c r="A20" s="5" t="s">
        <v>378</v>
      </c>
      <c r="B20" s="5" t="n">
        <v>30</v>
      </c>
      <c r="C20" s="7" t="n">
        <v>2</v>
      </c>
      <c r="D20" s="7" t="n">
        <v>1</v>
      </c>
      <c r="E20" s="7" t="n">
        <v>12</v>
      </c>
      <c r="F20" s="7" t="n">
        <v>10</v>
      </c>
      <c r="G20" s="7" t="n">
        <v>1</v>
      </c>
    </row>
    <row r="21" customFormat="false" ht="18" hidden="false" customHeight="true" outlineLevel="0" collapsed="false">
      <c r="A21" s="6" t="s">
        <v>379</v>
      </c>
      <c r="B21" s="6" t="n">
        <v>50</v>
      </c>
      <c r="C21" s="8" t="n">
        <v>2</v>
      </c>
      <c r="D21" s="8" t="n">
        <v>1</v>
      </c>
      <c r="E21" s="8" t="n">
        <v>18</v>
      </c>
      <c r="F21" s="8" t="n">
        <v>16</v>
      </c>
      <c r="G21" s="8" t="n">
        <v>1.05</v>
      </c>
    </row>
    <row r="22" customFormat="false" ht="18" hidden="false" customHeight="true" outlineLevel="0" collapsed="false">
      <c r="A22" s="5" t="s">
        <v>380</v>
      </c>
      <c r="B22" s="5" t="n">
        <v>70</v>
      </c>
      <c r="C22" s="7" t="n">
        <v>2</v>
      </c>
      <c r="D22" s="7" t="n">
        <v>1</v>
      </c>
      <c r="E22" s="7" t="n">
        <v>24</v>
      </c>
      <c r="F22" s="7" t="n">
        <v>22</v>
      </c>
      <c r="G22" s="7" t="n">
        <v>1.05</v>
      </c>
    </row>
    <row r="23" customFormat="false" ht="18" hidden="false" customHeight="true" outlineLevel="0" collapsed="false">
      <c r="A23" s="6" t="s">
        <v>381</v>
      </c>
      <c r="B23" s="6" t="n">
        <v>85</v>
      </c>
      <c r="C23" s="8" t="n">
        <v>2</v>
      </c>
      <c r="D23" s="8" t="n">
        <v>1</v>
      </c>
      <c r="E23" s="8" t="n">
        <v>32</v>
      </c>
      <c r="F23" s="8" t="n">
        <v>30</v>
      </c>
      <c r="G23" s="8" t="n">
        <v>1.1</v>
      </c>
    </row>
    <row r="24" customFormat="false" ht="18" hidden="false" customHeight="true" outlineLevel="0" collapsed="false">
      <c r="A24" s="5" t="s">
        <v>382</v>
      </c>
      <c r="B24" s="5" t="n">
        <v>95</v>
      </c>
      <c r="C24" s="7" t="n">
        <v>1</v>
      </c>
      <c r="D24" s="7" t="n">
        <v>1</v>
      </c>
      <c r="E24" s="7" t="n">
        <v>42</v>
      </c>
      <c r="F24" s="7" t="n">
        <v>40</v>
      </c>
      <c r="G24" s="7" t="n">
        <v>1.15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36"/>
  </cols>
  <sheetData>
    <row r="1" customFormat="false" ht="21.75" hidden="false" customHeight="true" outlineLevel="0" collapsed="false">
      <c r="A1" s="4" t="s">
        <v>383</v>
      </c>
      <c r="B1" s="4" t="s">
        <v>80</v>
      </c>
      <c r="C1" s="4" t="s">
        <v>384</v>
      </c>
      <c r="D1" s="4" t="s">
        <v>385</v>
      </c>
      <c r="E1" s="4" t="s">
        <v>386</v>
      </c>
      <c r="F1" s="4" t="s">
        <v>210</v>
      </c>
    </row>
    <row r="2" customFormat="false" ht="18" hidden="false" customHeight="true" outlineLevel="0" collapsed="false">
      <c r="A2" s="5" t="s">
        <v>387</v>
      </c>
      <c r="B2" s="5" t="n">
        <v>1</v>
      </c>
      <c r="C2" s="7" t="n">
        <v>500</v>
      </c>
      <c r="D2" s="5" t="s">
        <v>388</v>
      </c>
      <c r="E2" s="5"/>
      <c r="F2" s="5" t="s">
        <v>389</v>
      </c>
    </row>
    <row r="3" customFormat="false" ht="18" hidden="false" customHeight="true" outlineLevel="0" collapsed="false">
      <c r="A3" s="6" t="s">
        <v>387</v>
      </c>
      <c r="B3" s="6" t="n">
        <v>2</v>
      </c>
      <c r="C3" s="8" t="n">
        <v>2000</v>
      </c>
      <c r="D3" s="6" t="s">
        <v>390</v>
      </c>
      <c r="E3" s="6" t="s">
        <v>391</v>
      </c>
      <c r="F3" s="6" t="s">
        <v>392</v>
      </c>
    </row>
    <row r="4" customFormat="false" ht="18" hidden="false" customHeight="true" outlineLevel="0" collapsed="false">
      <c r="A4" s="5" t="s">
        <v>387</v>
      </c>
      <c r="B4" s="5" t="n">
        <v>3</v>
      </c>
      <c r="C4" s="7" t="n">
        <v>8000</v>
      </c>
      <c r="D4" s="5" t="s">
        <v>390</v>
      </c>
      <c r="E4" s="5" t="s">
        <v>393</v>
      </c>
      <c r="F4" s="5" t="s">
        <v>394</v>
      </c>
    </row>
    <row r="5" customFormat="false" ht="18" hidden="false" customHeight="true" outlineLevel="0" collapsed="false">
      <c r="A5" s="6" t="s">
        <v>387</v>
      </c>
      <c r="B5" s="6" t="n">
        <v>4</v>
      </c>
      <c r="C5" s="8" t="n">
        <v>30000</v>
      </c>
      <c r="D5" s="6" t="s">
        <v>395</v>
      </c>
      <c r="E5" s="6" t="s">
        <v>396</v>
      </c>
      <c r="F5" s="6" t="s">
        <v>397</v>
      </c>
    </row>
    <row r="6" customFormat="false" ht="18" hidden="false" customHeight="true" outlineLevel="0" collapsed="false">
      <c r="A6" s="5" t="s">
        <v>387</v>
      </c>
      <c r="B6" s="5" t="n">
        <v>5</v>
      </c>
      <c r="C6" s="7" t="n">
        <v>120000</v>
      </c>
      <c r="D6" s="5" t="s">
        <v>398</v>
      </c>
      <c r="E6" s="5" t="s">
        <v>399</v>
      </c>
      <c r="F6" s="5" t="s">
        <v>400</v>
      </c>
    </row>
    <row r="7" customFormat="false" ht="18" hidden="false" customHeight="true" outlineLevel="0" collapsed="false">
      <c r="A7" s="6" t="s">
        <v>401</v>
      </c>
      <c r="B7" s="6" t="n">
        <v>1</v>
      </c>
      <c r="C7" s="8" t="n">
        <v>800</v>
      </c>
      <c r="D7" s="6" t="s">
        <v>402</v>
      </c>
      <c r="E7" s="6"/>
      <c r="F7" s="6" t="s">
        <v>403</v>
      </c>
    </row>
    <row r="8" customFormat="false" ht="18" hidden="false" customHeight="true" outlineLevel="0" collapsed="false">
      <c r="A8" s="5" t="s">
        <v>401</v>
      </c>
      <c r="B8" s="5" t="n">
        <v>2</v>
      </c>
      <c r="C8" s="7" t="n">
        <v>3000</v>
      </c>
      <c r="D8" s="5" t="s">
        <v>404</v>
      </c>
      <c r="E8" s="5" t="s">
        <v>405</v>
      </c>
      <c r="F8" s="5" t="s">
        <v>406</v>
      </c>
    </row>
    <row r="9" customFormat="false" ht="18" hidden="false" customHeight="true" outlineLevel="0" collapsed="false">
      <c r="A9" s="6" t="s">
        <v>401</v>
      </c>
      <c r="B9" s="6" t="n">
        <v>3</v>
      </c>
      <c r="C9" s="8" t="n">
        <v>12000</v>
      </c>
      <c r="D9" s="6" t="s">
        <v>404</v>
      </c>
      <c r="E9" s="6" t="s">
        <v>407</v>
      </c>
      <c r="F9" s="6" t="s">
        <v>408</v>
      </c>
    </row>
    <row r="10" customFormat="false" ht="18" hidden="false" customHeight="true" outlineLevel="0" collapsed="false">
      <c r="A10" s="5" t="s">
        <v>401</v>
      </c>
      <c r="B10" s="5" t="n">
        <v>4</v>
      </c>
      <c r="C10" s="7" t="n">
        <v>50000</v>
      </c>
      <c r="D10" s="5" t="s">
        <v>409</v>
      </c>
      <c r="E10" s="5" t="s">
        <v>410</v>
      </c>
      <c r="F10" s="5" t="s">
        <v>411</v>
      </c>
    </row>
    <row r="11" customFormat="false" ht="18" hidden="false" customHeight="true" outlineLevel="0" collapsed="false">
      <c r="A11" s="6" t="s">
        <v>401</v>
      </c>
      <c r="B11" s="6" t="n">
        <v>5</v>
      </c>
      <c r="C11" s="8" t="n">
        <v>180000</v>
      </c>
      <c r="D11" s="6" t="s">
        <v>412</v>
      </c>
      <c r="E11" s="6" t="s">
        <v>413</v>
      </c>
      <c r="F11" s="6" t="s">
        <v>414</v>
      </c>
    </row>
    <row r="12" customFormat="false" ht="18" hidden="false" customHeight="true" outlineLevel="0" collapsed="false">
      <c r="A12" s="5" t="s">
        <v>415</v>
      </c>
      <c r="B12" s="5" t="n">
        <v>1</v>
      </c>
      <c r="C12" s="7" t="n">
        <v>1000</v>
      </c>
      <c r="D12" s="5" t="s">
        <v>416</v>
      </c>
      <c r="E12" s="5"/>
      <c r="F12" s="5" t="s">
        <v>417</v>
      </c>
    </row>
    <row r="13" customFormat="false" ht="18" hidden="false" customHeight="true" outlineLevel="0" collapsed="false">
      <c r="A13" s="6" t="s">
        <v>415</v>
      </c>
      <c r="B13" s="6" t="n">
        <v>3</v>
      </c>
      <c r="C13" s="8" t="n">
        <v>15000</v>
      </c>
      <c r="D13" s="6" t="s">
        <v>418</v>
      </c>
      <c r="E13" s="6" t="s">
        <v>419</v>
      </c>
      <c r="F13" s="6" t="s">
        <v>420</v>
      </c>
    </row>
    <row r="14" customFormat="false" ht="18" hidden="false" customHeight="true" outlineLevel="0" collapsed="false">
      <c r="A14" s="5" t="s">
        <v>415</v>
      </c>
      <c r="B14" s="5" t="n">
        <v>5</v>
      </c>
      <c r="C14" s="7" t="n">
        <v>250000</v>
      </c>
      <c r="D14" s="5" t="s">
        <v>421</v>
      </c>
      <c r="E14" s="5" t="s">
        <v>422</v>
      </c>
      <c r="F14" s="5" t="s">
        <v>423</v>
      </c>
    </row>
    <row r="15" customFormat="false" ht="18" hidden="false" customHeight="true" outlineLevel="0" collapsed="false">
      <c r="A15" s="6" t="s">
        <v>424</v>
      </c>
      <c r="B15" s="6" t="n">
        <v>1</v>
      </c>
      <c r="C15" s="8" t="n">
        <v>600</v>
      </c>
      <c r="D15" s="6" t="s">
        <v>425</v>
      </c>
      <c r="E15" s="6"/>
      <c r="F15" s="6" t="s">
        <v>426</v>
      </c>
    </row>
    <row r="16" customFormat="false" ht="18" hidden="false" customHeight="true" outlineLevel="0" collapsed="false">
      <c r="A16" s="5" t="s">
        <v>424</v>
      </c>
      <c r="B16" s="5" t="n">
        <v>3</v>
      </c>
      <c r="C16" s="7" t="n">
        <v>9000</v>
      </c>
      <c r="D16" s="5" t="s">
        <v>427</v>
      </c>
      <c r="E16" s="5" t="s">
        <v>428</v>
      </c>
      <c r="F16" s="5" t="s">
        <v>429</v>
      </c>
    </row>
    <row r="17" customFormat="false" ht="18" hidden="false" customHeight="true" outlineLevel="0" collapsed="false">
      <c r="A17" s="6" t="s">
        <v>424</v>
      </c>
      <c r="B17" s="6" t="n">
        <v>5</v>
      </c>
      <c r="C17" s="8" t="n">
        <v>160000</v>
      </c>
      <c r="D17" s="6" t="s">
        <v>430</v>
      </c>
      <c r="E17" s="6" t="s">
        <v>431</v>
      </c>
      <c r="F17" s="6" t="s">
        <v>432</v>
      </c>
    </row>
    <row r="18" customFormat="false" ht="18" hidden="false" customHeight="true" outlineLevel="0" collapsed="false">
      <c r="A18" s="5" t="s">
        <v>433</v>
      </c>
      <c r="B18" s="5" t="n">
        <v>1</v>
      </c>
      <c r="C18" s="7" t="n">
        <v>2000</v>
      </c>
      <c r="D18" s="5" t="s">
        <v>434</v>
      </c>
      <c r="E18" s="5"/>
      <c r="F18" s="5" t="s">
        <v>435</v>
      </c>
    </row>
    <row r="19" customFormat="false" ht="18" hidden="false" customHeight="true" outlineLevel="0" collapsed="false">
      <c r="A19" s="6" t="s">
        <v>433</v>
      </c>
      <c r="B19" s="6" t="n">
        <v>3</v>
      </c>
      <c r="C19" s="8" t="n">
        <v>8000</v>
      </c>
      <c r="D19" s="6" t="s">
        <v>436</v>
      </c>
      <c r="E19" s="6"/>
      <c r="F19" s="6" t="s">
        <v>437</v>
      </c>
    </row>
    <row r="20" customFormat="false" ht="18" hidden="false" customHeight="true" outlineLevel="0" collapsed="false">
      <c r="A20" s="5" t="s">
        <v>433</v>
      </c>
      <c r="B20" s="5" t="n">
        <v>5</v>
      </c>
      <c r="C20" s="7" t="n">
        <v>200000</v>
      </c>
      <c r="D20" s="5" t="s">
        <v>438</v>
      </c>
      <c r="E20" s="5" t="s">
        <v>439</v>
      </c>
      <c r="F20" s="5" t="s">
        <v>440</v>
      </c>
    </row>
    <row r="21" customFormat="false" ht="18" hidden="false" customHeight="true" outlineLevel="0" collapsed="false">
      <c r="A21" s="6" t="s">
        <v>441</v>
      </c>
      <c r="B21" s="6" t="n">
        <v>1</v>
      </c>
      <c r="C21" s="8" t="n">
        <v>1200</v>
      </c>
      <c r="D21" s="6" t="s">
        <v>442</v>
      </c>
      <c r="E21" s="6"/>
      <c r="F21" s="6" t="s">
        <v>443</v>
      </c>
    </row>
    <row r="22" customFormat="false" ht="18" hidden="false" customHeight="true" outlineLevel="0" collapsed="false">
      <c r="A22" s="5" t="s">
        <v>441</v>
      </c>
      <c r="B22" s="5" t="n">
        <v>3</v>
      </c>
      <c r="C22" s="7" t="n">
        <v>12000</v>
      </c>
      <c r="D22" s="5" t="s">
        <v>444</v>
      </c>
      <c r="E22" s="5"/>
      <c r="F22" s="5" t="s">
        <v>445</v>
      </c>
    </row>
    <row r="23" customFormat="false" ht="18" hidden="false" customHeight="true" outlineLevel="0" collapsed="false">
      <c r="A23" s="6" t="s">
        <v>441</v>
      </c>
      <c r="B23" s="6" t="n">
        <v>5</v>
      </c>
      <c r="C23" s="8" t="n">
        <v>220000</v>
      </c>
      <c r="D23" s="6" t="s">
        <v>446</v>
      </c>
      <c r="E23" s="6" t="s">
        <v>447</v>
      </c>
      <c r="F23" s="6" t="s">
        <v>448</v>
      </c>
    </row>
    <row r="24" customFormat="false" ht="18" hidden="false" customHeight="true" outlineLevel="0" collapsed="false">
      <c r="A24" s="5" t="s">
        <v>449</v>
      </c>
      <c r="B24" s="5" t="n">
        <v>1</v>
      </c>
      <c r="C24" s="7" t="n">
        <v>900</v>
      </c>
      <c r="D24" s="5" t="s">
        <v>450</v>
      </c>
      <c r="E24" s="5"/>
      <c r="F24" s="5" t="s">
        <v>451</v>
      </c>
    </row>
    <row r="25" customFormat="false" ht="18" hidden="false" customHeight="true" outlineLevel="0" collapsed="false">
      <c r="A25" s="6" t="s">
        <v>449</v>
      </c>
      <c r="B25" s="6" t="n">
        <v>3</v>
      </c>
      <c r="C25" s="8" t="n">
        <v>14000</v>
      </c>
      <c r="D25" s="6" t="s">
        <v>452</v>
      </c>
      <c r="E25" s="6" t="s">
        <v>453</v>
      </c>
      <c r="F25" s="6" t="s">
        <v>454</v>
      </c>
    </row>
    <row r="26" customFormat="false" ht="18" hidden="false" customHeight="true" outlineLevel="0" collapsed="false">
      <c r="A26" s="5" t="s">
        <v>449</v>
      </c>
      <c r="B26" s="5" t="n">
        <v>5</v>
      </c>
      <c r="C26" s="7" t="n">
        <v>280000</v>
      </c>
      <c r="D26" s="5" t="s">
        <v>412</v>
      </c>
      <c r="E26" s="5" t="s">
        <v>455</v>
      </c>
      <c r="F26" s="5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4" t="s">
        <v>80</v>
      </c>
      <c r="B1" s="4" t="s">
        <v>457</v>
      </c>
      <c r="C1" s="4" t="s">
        <v>458</v>
      </c>
      <c r="D1" s="4" t="s">
        <v>459</v>
      </c>
      <c r="E1" s="4" t="s">
        <v>460</v>
      </c>
    </row>
    <row r="2" customFormat="false" ht="18" hidden="false" customHeight="true" outlineLevel="0" collapsed="false">
      <c r="A2" s="5" t="s">
        <v>461</v>
      </c>
      <c r="B2" s="7" t="n">
        <v>50000</v>
      </c>
      <c r="C2" s="5" t="s">
        <v>462</v>
      </c>
      <c r="D2" s="5" t="s">
        <v>345</v>
      </c>
      <c r="E2" s="5" t="s">
        <v>463</v>
      </c>
    </row>
    <row r="3" customFormat="false" ht="18" hidden="false" customHeight="true" outlineLevel="0" collapsed="false">
      <c r="A3" s="6" t="s">
        <v>464</v>
      </c>
      <c r="B3" s="8" t="n">
        <v>150000</v>
      </c>
      <c r="C3" s="6" t="s">
        <v>465</v>
      </c>
      <c r="D3" s="6" t="s">
        <v>345</v>
      </c>
      <c r="E3" s="6" t="s">
        <v>466</v>
      </c>
    </row>
    <row r="4" customFormat="false" ht="18" hidden="false" customHeight="true" outlineLevel="0" collapsed="false">
      <c r="A4" s="5" t="s">
        <v>467</v>
      </c>
      <c r="B4" s="7" t="n">
        <v>400000</v>
      </c>
      <c r="C4" s="5" t="s">
        <v>468</v>
      </c>
      <c r="D4" s="5" t="s">
        <v>345</v>
      </c>
      <c r="E4" s="5" t="s">
        <v>469</v>
      </c>
    </row>
    <row r="5" customFormat="false" ht="18" hidden="false" customHeight="true" outlineLevel="0" collapsed="false">
      <c r="A5" s="6" t="s">
        <v>470</v>
      </c>
      <c r="B5" s="8" t="n">
        <v>1200000</v>
      </c>
      <c r="C5" s="6" t="s">
        <v>471</v>
      </c>
      <c r="D5" s="6" t="s">
        <v>472</v>
      </c>
      <c r="E5" s="6" t="s">
        <v>473</v>
      </c>
    </row>
    <row r="6" customFormat="false" ht="18" hidden="false" customHeight="true" outlineLevel="0" collapsed="false">
      <c r="A6" s="5" t="s">
        <v>474</v>
      </c>
      <c r="B6" s="7" t="n">
        <v>5000000</v>
      </c>
      <c r="C6" s="5" t="s">
        <v>475</v>
      </c>
      <c r="D6" s="5" t="s">
        <v>476</v>
      </c>
      <c r="E6" s="5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1" t="s">
        <v>478</v>
      </c>
    </row>
    <row r="2" customFormat="false" ht="15" hidden="false" customHeight="false" outlineLevel="0" collapsed="false">
      <c r="A2" s="14" t="s">
        <v>479</v>
      </c>
      <c r="B2" s="15" t="n">
        <v>100</v>
      </c>
    </row>
    <row r="4" customFormat="false" ht="21.75" hidden="false" customHeight="true" outlineLevel="0" collapsed="false">
      <c r="A4" s="4" t="s">
        <v>480</v>
      </c>
      <c r="B4" s="4" t="s">
        <v>481</v>
      </c>
      <c r="C4" s="4" t="s">
        <v>482</v>
      </c>
      <c r="D4" s="4" t="s">
        <v>483</v>
      </c>
      <c r="E4" s="4" t="s">
        <v>484</v>
      </c>
      <c r="F4" s="4" t="s">
        <v>485</v>
      </c>
    </row>
    <row r="5" customFormat="false" ht="18" hidden="false" customHeight="true" outlineLevel="0" collapsed="false">
      <c r="A5" s="5" t="s">
        <v>486</v>
      </c>
      <c r="B5" s="5" t="s">
        <v>487</v>
      </c>
      <c r="C5" s="12" t="n">
        <v>0.8</v>
      </c>
      <c r="D5" s="16" t="n">
        <f aca="false">$B$2*C5</f>
        <v>80</v>
      </c>
      <c r="E5" s="7" t="n">
        <v>5</v>
      </c>
      <c r="F5" s="16" t="n">
        <f aca="false">D5*E5</f>
        <v>400</v>
      </c>
    </row>
    <row r="6" customFormat="false" ht="18" hidden="false" customHeight="true" outlineLevel="0" collapsed="false">
      <c r="A6" s="6" t="s">
        <v>486</v>
      </c>
      <c r="B6" s="6" t="s">
        <v>488</v>
      </c>
      <c r="C6" s="13" t="n">
        <v>0.5</v>
      </c>
      <c r="D6" s="17" t="n">
        <f aca="false">$B$2*C6</f>
        <v>50</v>
      </c>
      <c r="E6" s="8" t="n">
        <v>1</v>
      </c>
      <c r="F6" s="17" t="n">
        <f aca="false">D6*E6</f>
        <v>50</v>
      </c>
    </row>
    <row r="7" customFormat="false" ht="18" hidden="false" customHeight="true" outlineLevel="0" collapsed="false">
      <c r="A7" s="5" t="s">
        <v>489</v>
      </c>
      <c r="B7" s="5" t="s">
        <v>490</v>
      </c>
      <c r="C7" s="12" t="n">
        <v>0.5</v>
      </c>
      <c r="D7" s="16" t="n">
        <f aca="false">$B$2*C7</f>
        <v>50</v>
      </c>
      <c r="E7" s="7" t="n">
        <v>8</v>
      </c>
      <c r="F7" s="16" t="n">
        <f aca="false">D7*E7</f>
        <v>400</v>
      </c>
    </row>
    <row r="8" customFormat="false" ht="18" hidden="false" customHeight="true" outlineLevel="0" collapsed="false">
      <c r="A8" s="6" t="s">
        <v>489</v>
      </c>
      <c r="B8" s="6" t="s">
        <v>377</v>
      </c>
      <c r="C8" s="13" t="n">
        <v>0.03</v>
      </c>
      <c r="D8" s="17" t="n">
        <f aca="false">$B$2*C8</f>
        <v>3</v>
      </c>
      <c r="E8" s="8" t="n">
        <v>50</v>
      </c>
      <c r="F8" s="17" t="n">
        <f aca="false">D8*E8</f>
        <v>150</v>
      </c>
    </row>
    <row r="9" customFormat="false" ht="18" hidden="false" customHeight="true" outlineLevel="0" collapsed="false">
      <c r="A9" s="5" t="s">
        <v>370</v>
      </c>
      <c r="B9" s="5" t="s">
        <v>104</v>
      </c>
      <c r="C9" s="12" t="n">
        <v>0.7</v>
      </c>
      <c r="D9" s="16" t="n">
        <f aca="false">$B$2*C9</f>
        <v>70</v>
      </c>
      <c r="E9" s="7" t="n">
        <v>35</v>
      </c>
      <c r="F9" s="16" t="n">
        <f aca="false">D9*E9</f>
        <v>2450</v>
      </c>
    </row>
    <row r="10" customFormat="false" ht="18" hidden="false" customHeight="true" outlineLevel="0" collapsed="false">
      <c r="A10" s="6" t="s">
        <v>491</v>
      </c>
      <c r="B10" s="6" t="s">
        <v>112</v>
      </c>
      <c r="C10" s="13" t="n">
        <v>0.6</v>
      </c>
      <c r="D10" s="17" t="n">
        <f aca="false">$B$2*C10</f>
        <v>60</v>
      </c>
      <c r="E10" s="8" t="n">
        <v>80</v>
      </c>
      <c r="F10" s="17" t="n">
        <f aca="false">D10*E10</f>
        <v>4800</v>
      </c>
    </row>
    <row r="11" customFormat="false" ht="18" hidden="false" customHeight="true" outlineLevel="0" collapsed="false">
      <c r="A11" s="5" t="s">
        <v>492</v>
      </c>
      <c r="B11" s="5" t="s">
        <v>493</v>
      </c>
      <c r="C11" s="12" t="n">
        <v>0.5</v>
      </c>
      <c r="D11" s="16" t="n">
        <f aca="false">$B$2*C11</f>
        <v>50</v>
      </c>
      <c r="E11" s="7" t="n">
        <v>500</v>
      </c>
      <c r="F11" s="16" t="n">
        <f aca="false">D11*E11</f>
        <v>25000</v>
      </c>
    </row>
    <row r="12" customFormat="false" ht="18" hidden="false" customHeight="true" outlineLevel="0" collapsed="false">
      <c r="A12" s="6" t="s">
        <v>492</v>
      </c>
      <c r="B12" s="6" t="s">
        <v>240</v>
      </c>
      <c r="C12" s="13" t="n">
        <v>0.02</v>
      </c>
      <c r="D12" s="17" t="n">
        <f aca="false">$B$2*C12</f>
        <v>2</v>
      </c>
      <c r="E12" s="8" t="n">
        <v>2000</v>
      </c>
      <c r="F12" s="17" t="n">
        <f aca="false">D12*E12</f>
        <v>4000</v>
      </c>
    </row>
    <row r="13" customFormat="false" ht="18" hidden="false" customHeight="true" outlineLevel="0" collapsed="false">
      <c r="A13" s="5" t="s">
        <v>494</v>
      </c>
      <c r="B13" s="5" t="s">
        <v>495</v>
      </c>
      <c r="C13" s="12" t="n">
        <v>0.8</v>
      </c>
      <c r="D13" s="16" t="n">
        <f aca="false">$B$2*C13</f>
        <v>80</v>
      </c>
      <c r="E13" s="7" t="n">
        <v>800</v>
      </c>
      <c r="F13" s="16" t="n">
        <f aca="false">D13*E13</f>
        <v>64000</v>
      </c>
    </row>
    <row r="14" customFormat="false" ht="18" hidden="false" customHeight="true" outlineLevel="0" collapsed="false">
      <c r="A14" s="6" t="s">
        <v>494</v>
      </c>
      <c r="B14" s="6" t="s">
        <v>496</v>
      </c>
      <c r="C14" s="13" t="n">
        <v>0.3</v>
      </c>
      <c r="D14" s="17" t="n">
        <f aca="false">$B$2*C14</f>
        <v>30</v>
      </c>
      <c r="E14" s="8" t="n">
        <v>300</v>
      </c>
      <c r="F14" s="17" t="n">
        <f aca="false">D14*E14</f>
        <v>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497</v>
      </c>
    </row>
    <row r="2" customFormat="false" ht="21.75" hidden="false" customHeight="true" outlineLevel="0" collapsed="false">
      <c r="A2" s="4" t="s">
        <v>498</v>
      </c>
      <c r="B2" s="4" t="s">
        <v>499</v>
      </c>
      <c r="C2" s="4" t="s">
        <v>500</v>
      </c>
    </row>
    <row r="3" customFormat="false" ht="18" hidden="false" customHeight="true" outlineLevel="0" collapsed="false">
      <c r="A3" s="5" t="s">
        <v>501</v>
      </c>
      <c r="B3" s="7" t="n">
        <v>2500</v>
      </c>
      <c r="C3" s="5" t="s">
        <v>502</v>
      </c>
    </row>
    <row r="4" customFormat="false" ht="18" hidden="false" customHeight="true" outlineLevel="0" collapsed="false">
      <c r="A4" s="6" t="s">
        <v>503</v>
      </c>
      <c r="B4" s="8" t="n">
        <v>1500</v>
      </c>
      <c r="C4" s="6" t="s">
        <v>504</v>
      </c>
    </row>
    <row r="5" customFormat="false" ht="18" hidden="false" customHeight="true" outlineLevel="0" collapsed="false">
      <c r="A5" s="5" t="s">
        <v>505</v>
      </c>
      <c r="B5" s="7" t="n">
        <v>400</v>
      </c>
      <c r="C5" s="5" t="s">
        <v>506</v>
      </c>
    </row>
    <row r="6" customFormat="false" ht="18" hidden="false" customHeight="true" outlineLevel="0" collapsed="false">
      <c r="A6" s="6" t="s">
        <v>507</v>
      </c>
      <c r="B6" s="8" t="n">
        <v>300</v>
      </c>
      <c r="C6" s="6" t="s">
        <v>508</v>
      </c>
    </row>
    <row r="7" customFormat="false" ht="18" hidden="false" customHeight="true" outlineLevel="0" collapsed="false">
      <c r="A7" s="5" t="s">
        <v>509</v>
      </c>
      <c r="B7" s="7" t="n">
        <v>800</v>
      </c>
      <c r="C7" s="5" t="s">
        <v>510</v>
      </c>
    </row>
    <row r="9" customFormat="false" ht="15" hidden="false" customHeight="false" outlineLevel="0" collapsed="false">
      <c r="A9" s="3" t="s">
        <v>511</v>
      </c>
    </row>
    <row r="10" customFormat="false" ht="21.75" hidden="false" customHeight="true" outlineLevel="0" collapsed="false">
      <c r="A10" s="4" t="s">
        <v>512</v>
      </c>
      <c r="B10" s="4" t="s">
        <v>513</v>
      </c>
      <c r="C10" s="4" t="s">
        <v>500</v>
      </c>
    </row>
    <row r="11" customFormat="false" ht="18" hidden="false" customHeight="true" outlineLevel="0" collapsed="false">
      <c r="A11" s="5" t="s">
        <v>514</v>
      </c>
      <c r="B11" s="7" t="n">
        <v>1200</v>
      </c>
      <c r="C11" s="5" t="s">
        <v>515</v>
      </c>
    </row>
    <row r="12" customFormat="false" ht="18" hidden="false" customHeight="true" outlineLevel="0" collapsed="false">
      <c r="A12" s="6" t="s">
        <v>516</v>
      </c>
      <c r="B12" s="8" t="n">
        <v>400</v>
      </c>
      <c r="C12" s="6" t="s">
        <v>517</v>
      </c>
    </row>
    <row r="13" customFormat="false" ht="18" hidden="false" customHeight="true" outlineLevel="0" collapsed="false">
      <c r="A13" s="5" t="s">
        <v>518</v>
      </c>
      <c r="B13" s="7" t="n">
        <v>2000</v>
      </c>
      <c r="C13" s="5" t="s">
        <v>519</v>
      </c>
    </row>
    <row r="14" customFormat="false" ht="18" hidden="false" customHeight="true" outlineLevel="0" collapsed="false">
      <c r="A14" s="6" t="s">
        <v>520</v>
      </c>
      <c r="B14" s="8" t="n">
        <v>500</v>
      </c>
      <c r="C14" s="6" t="s">
        <v>521</v>
      </c>
    </row>
    <row r="15" customFormat="false" ht="18" hidden="false" customHeight="true" outlineLevel="0" collapsed="false">
      <c r="A15" s="5" t="s">
        <v>522</v>
      </c>
      <c r="B15" s="7" t="n">
        <v>200</v>
      </c>
      <c r="C15" s="5" t="s">
        <v>523</v>
      </c>
    </row>
    <row r="17" customFormat="false" ht="15" hidden="false" customHeight="false" outlineLevel="0" collapsed="false">
      <c r="A17" s="18" t="s">
        <v>524</v>
      </c>
      <c r="B17" s="19" t="n">
        <f aca="false">SUM(B3:B7)-SUM(B11:B15)</f>
        <v>1200</v>
      </c>
    </row>
    <row r="19" customFormat="false" ht="15" hidden="false" customHeight="false" outlineLevel="0" collapsed="false">
      <c r="A19" s="3" t="s">
        <v>525</v>
      </c>
    </row>
    <row r="20" customFormat="false" ht="21.75" hidden="false" customHeight="true" outlineLevel="0" collapsed="false">
      <c r="A20" s="4" t="s">
        <v>498</v>
      </c>
      <c r="B20" s="4" t="s">
        <v>526</v>
      </c>
      <c r="C20" s="4" t="s">
        <v>527</v>
      </c>
      <c r="D20" s="4" t="s">
        <v>500</v>
      </c>
    </row>
    <row r="21" customFormat="false" ht="18" hidden="false" customHeight="true" outlineLevel="0" collapsed="false">
      <c r="A21" s="5" t="s">
        <v>528</v>
      </c>
      <c r="B21" s="7" t="n">
        <v>0</v>
      </c>
      <c r="C21" s="7" t="n">
        <v>1000</v>
      </c>
      <c r="D21" s="5" t="s">
        <v>529</v>
      </c>
    </row>
    <row r="22" customFormat="false" ht="18" hidden="false" customHeight="true" outlineLevel="0" collapsed="false">
      <c r="A22" s="6" t="s">
        <v>530</v>
      </c>
      <c r="B22" s="8" t="n">
        <v>0</v>
      </c>
      <c r="C22" s="8" t="n">
        <v>300</v>
      </c>
      <c r="D22" s="6" t="s">
        <v>531</v>
      </c>
    </row>
    <row r="23" customFormat="false" ht="18" hidden="false" customHeight="true" outlineLevel="0" collapsed="false">
      <c r="A23" s="5" t="s">
        <v>532</v>
      </c>
      <c r="B23" s="7" t="n">
        <v>5</v>
      </c>
      <c r="C23" s="7" t="n">
        <v>5</v>
      </c>
      <c r="D23" s="5" t="s">
        <v>533</v>
      </c>
    </row>
    <row r="24" customFormat="false" ht="18" hidden="false" customHeight="true" outlineLevel="0" collapsed="false">
      <c r="A24" s="6" t="s">
        <v>534</v>
      </c>
      <c r="B24" s="8" t="n">
        <v>7</v>
      </c>
      <c r="C24" s="8" t="n">
        <v>7</v>
      </c>
      <c r="D24" s="6" t="s">
        <v>535</v>
      </c>
    </row>
    <row r="25" customFormat="false" ht="18" hidden="false" customHeight="true" outlineLevel="0" collapsed="false">
      <c r="A25" s="5" t="s">
        <v>536</v>
      </c>
      <c r="B25" s="7" t="n">
        <v>10</v>
      </c>
      <c r="C25" s="7" t="n">
        <v>10</v>
      </c>
      <c r="D25" s="5" t="s">
        <v>537</v>
      </c>
    </row>
    <row r="27" customFormat="false" ht="15" hidden="false" customHeight="false" outlineLevel="0" collapsed="false">
      <c r="A27" s="3" t="s">
        <v>538</v>
      </c>
    </row>
    <row r="28" customFormat="false" ht="21.75" hidden="false" customHeight="true" outlineLevel="0" collapsed="false">
      <c r="A28" s="4" t="s">
        <v>512</v>
      </c>
      <c r="B28" s="4" t="s">
        <v>539</v>
      </c>
      <c r="C28" s="4" t="s">
        <v>500</v>
      </c>
    </row>
    <row r="29" customFormat="false" ht="18" hidden="false" customHeight="true" outlineLevel="0" collapsed="false">
      <c r="A29" s="5" t="s">
        <v>540</v>
      </c>
      <c r="B29" s="7" t="n">
        <v>200</v>
      </c>
      <c r="C29" s="5" t="s">
        <v>541</v>
      </c>
    </row>
    <row r="30" customFormat="false" ht="18" hidden="false" customHeight="true" outlineLevel="0" collapsed="false">
      <c r="A30" s="6" t="s">
        <v>542</v>
      </c>
      <c r="B30" s="8" t="n">
        <v>500</v>
      </c>
      <c r="C30" s="6" t="s">
        <v>543</v>
      </c>
    </row>
    <row r="31" customFormat="false" ht="18" hidden="false" customHeight="true" outlineLevel="0" collapsed="false">
      <c r="A31" s="5" t="s">
        <v>544</v>
      </c>
      <c r="B31" s="7" t="n">
        <v>1000</v>
      </c>
      <c r="C31" s="5" t="s">
        <v>545</v>
      </c>
    </row>
    <row r="32" customFormat="false" ht="18" hidden="false" customHeight="true" outlineLevel="0" collapsed="false">
      <c r="A32" s="6" t="s">
        <v>546</v>
      </c>
      <c r="B32" s="8" t="n">
        <v>100</v>
      </c>
      <c r="C32" s="6" t="s">
        <v>547</v>
      </c>
    </row>
    <row r="33" customFormat="false" ht="18" hidden="false" customHeight="true" outlineLevel="0" collapsed="false">
      <c r="A33" s="5" t="s">
        <v>548</v>
      </c>
      <c r="B33" s="7" t="n">
        <v>150</v>
      </c>
      <c r="C33" s="5" t="s">
        <v>549</v>
      </c>
    </row>
    <row r="34" customFormat="false" ht="18" hidden="false" customHeight="true" outlineLevel="0" collapsed="false">
      <c r="A34" s="6" t="s">
        <v>550</v>
      </c>
      <c r="B34" s="8" t="n">
        <v>50</v>
      </c>
      <c r="C34" s="6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2026-05-01T20:43:09Z</dcterms:created>
  <dc:creator>openpyxl</dc:creator>
  <dc:description/>
  <dc:language>en-US</dc:language>
  <cp:lastModifiedBy/>
  <dcterms:modified xsi:type="dcterms:W3CDTF">2026-05-01T20:43:09Z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