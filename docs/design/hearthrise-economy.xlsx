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kill_Endgames" sheetId="2" state="visible" r:id="rId2"/>
    <sheet xmlns:r="http://schemas.openxmlformats.org/officeDocument/2006/relationships" name="Tier_Ladder" sheetId="3" state="visible" r:id="rId3"/>
    <sheet xmlns:r="http://schemas.openxmlformats.org/officeDocument/2006/relationships" name="XP_Curve" sheetId="4" state="visible" r:id="rId4"/>
    <sheet xmlns:r="http://schemas.openxmlformats.org/officeDocument/2006/relationships" name="Smithing" sheetId="5" state="visible" r:id="rId5"/>
    <sheet xmlns:r="http://schemas.openxmlformats.org/officeDocument/2006/relationships" name="Crafting" sheetId="6" state="visible" r:id="rId6"/>
    <sheet xmlns:r="http://schemas.openxmlformats.org/officeDocument/2006/relationships" name="Cooking" sheetId="7" state="visible" r:id="rId7"/>
    <sheet xmlns:r="http://schemas.openxmlformats.org/officeDocument/2006/relationships" name="Tools" sheetId="8" state="visible" r:id="rId8"/>
    <sheet xmlns:r="http://schemas.openxmlformats.org/officeDocument/2006/relationships" name="Combat_Gear" sheetId="9" state="visible" r:id="rId9"/>
    <sheet xmlns:r="http://schemas.openxmlformats.org/officeDocument/2006/relationships" name="House_Rooms" sheetId="10" state="visible" r:id="rId10"/>
    <sheet xmlns:r="http://schemas.openxmlformats.org/officeDocument/2006/relationships" name="Clan_Castle" sheetId="11" state="visible" r:id="rId11"/>
    <sheet xmlns:r="http://schemas.openxmlformats.org/officeDocument/2006/relationships" name="Drop_Rates" sheetId="12" state="visible" r:id="rId12"/>
    <sheet xmlns:r="http://schemas.openxmlformats.org/officeDocument/2006/relationships" name="Currency" sheetId="13" state="visible" r:id="rId1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;\(#,##0\);\-"/>
    <numFmt numFmtId="165" formatCode="0.0%"/>
    <numFmt numFmtId="166" formatCode="#,##0;\(#,##0\)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20232A"/>
      <sz val="16"/>
    </font>
    <font>
      <name val="Arial"/>
      <charset val="1"/>
      <family val="0"/>
      <color rgb="FF20232A"/>
      <sz val="11"/>
    </font>
    <font>
      <name val="Arial"/>
      <charset val="1"/>
      <family val="0"/>
      <b val="1"/>
      <color rgb="FFB68B1F"/>
      <sz val="12"/>
    </font>
    <font>
      <name val="Arial"/>
      <charset val="1"/>
      <family val="0"/>
      <b val="1"/>
      <color rgb="FF20232A"/>
      <sz val="11"/>
    </font>
    <font>
      <name val="Arial"/>
      <charset val="1"/>
      <family val="0"/>
      <color rgb="FF20232A"/>
      <sz val="10"/>
    </font>
    <font>
      <name val="Arial"/>
      <charset val="1"/>
      <family val="0"/>
      <b val="1"/>
      <color rgb="FFB68B1F"/>
      <sz val="11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FF"/>
      <sz val="11"/>
    </font>
    <font>
      <name val="Arial"/>
      <charset val="1"/>
      <family val="0"/>
      <b val="1"/>
      <sz val="11"/>
    </font>
    <font>
      <name val="Arial"/>
      <charset val="1"/>
      <family val="0"/>
      <b val="1"/>
      <color rgb="FF1F8A85"/>
      <sz val="11"/>
    </font>
  </fonts>
  <fills count="4">
    <fill>
      <patternFill/>
    </fill>
    <fill>
      <patternFill patternType="gray125"/>
    </fill>
    <fill>
      <patternFill patternType="solid">
        <fgColor rgb="FFFFF7E6"/>
        <bgColor rgb="FFF6F8FB"/>
      </patternFill>
    </fill>
    <fill>
      <patternFill patternType="solid">
        <fgColor rgb="FFF6F8FB"/>
        <bgColor rgb="FFFFF7E6"/>
      </patternFill>
    </fill>
  </fills>
  <borders count="2">
    <border>
      <left/>
      <right/>
      <top/>
      <bottom/>
      <diagonal/>
    </border>
    <border>
      <left style="thin">
        <color rgb="FFD9DEE3"/>
      </left>
      <right style="thin">
        <color rgb="FFD9DEE3"/>
      </right>
      <top style="thin">
        <color rgb="FFD9DEE3"/>
      </top>
      <bottom style="thin">
        <color rgb="FFD9DEE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right" vertical="center" wrapText="1"/>
    </xf>
    <xf numFmtId="164" fontId="8" fillId="3" borderId="1" applyAlignment="1" pivotButton="0" quotePrefix="0" xfId="0">
      <alignment horizontal="right" vertical="center" wrapText="1"/>
    </xf>
    <xf numFmtId="3" fontId="8" fillId="3" borderId="1" applyAlignment="1" pivotButton="0" quotePrefix="0" xfId="0">
      <alignment horizontal="right" vertical="center" wrapText="1"/>
    </xf>
    <xf numFmtId="3" fontId="8" fillId="0" borderId="1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general" vertical="bottom"/>
    </xf>
    <xf numFmtId="165" fontId="8" fillId="0" borderId="1" applyAlignment="1" pivotButton="0" quotePrefix="0" xfId="0">
      <alignment horizontal="right" vertical="center" wrapText="1"/>
    </xf>
    <xf numFmtId="165" fontId="8" fillId="3" borderId="1" applyAlignment="1" pivotButton="0" quotePrefix="0" xfId="0">
      <alignment horizontal="right" vertical="center" wrapText="1"/>
    </xf>
    <xf numFmtId="0" fontId="10" fillId="0" borderId="0" applyAlignment="1" pivotButton="0" quotePrefix="0" xfId="0">
      <alignment horizontal="general" vertical="bottom"/>
    </xf>
    <xf numFmtId="3" fontId="11" fillId="0" borderId="0" applyAlignment="1" pivotButton="0" quotePrefix="0" xfId="0">
      <alignment horizontal="right" vertical="bottom"/>
    </xf>
    <xf numFmtId="3" fontId="8" fillId="0" borderId="1" applyAlignment="1" pivotButton="0" quotePrefix="0" xfId="0">
      <alignment horizontal="left" vertical="center" wrapText="1"/>
    </xf>
    <xf numFmtId="3" fontId="8" fillId="3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general" vertical="bottom"/>
    </xf>
    <xf numFmtId="166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right" vertical="center" wrapText="1"/>
    </xf>
    <xf numFmtId="164" fontId="8" fillId="3" borderId="1" applyAlignment="1" pivotButton="0" quotePrefix="0" xfId="0">
      <alignment horizontal="right" vertical="center" wrapText="1"/>
    </xf>
    <xf numFmtId="3" fontId="8" fillId="3" borderId="1" applyAlignment="1" pivotButton="0" quotePrefix="0" xfId="0">
      <alignment horizontal="right" vertical="center" wrapText="1"/>
    </xf>
    <xf numFmtId="3" fontId="8" fillId="0" borderId="1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general" vertical="bottom"/>
    </xf>
    <xf numFmtId="165" fontId="8" fillId="0" borderId="1" applyAlignment="1" pivotButton="0" quotePrefix="0" xfId="0">
      <alignment horizontal="right" vertical="center" wrapText="1"/>
    </xf>
    <xf numFmtId="165" fontId="8" fillId="3" borderId="1" applyAlignment="1" pivotButton="0" quotePrefix="0" xfId="0">
      <alignment horizontal="right" vertical="center" wrapText="1"/>
    </xf>
    <xf numFmtId="0" fontId="10" fillId="0" borderId="0" applyAlignment="1" pivotButton="0" quotePrefix="0" xfId="0">
      <alignment horizontal="general" vertical="bottom"/>
    </xf>
    <xf numFmtId="3" fontId="11" fillId="0" borderId="0" applyAlignment="1" pivotButton="0" quotePrefix="0" xfId="0">
      <alignment horizontal="right" vertical="bottom"/>
    </xf>
    <xf numFmtId="3" fontId="8" fillId="0" borderId="1" applyAlignment="1" pivotButton="0" quotePrefix="0" xfId="0">
      <alignment horizontal="left" vertical="center" wrapText="1"/>
    </xf>
    <xf numFmtId="3" fontId="8" fillId="3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general" vertical="bottom"/>
    </xf>
    <xf numFmtId="166" fontId="13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6F8F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68B1F"/>
      <rgbColor rgb="FF800080"/>
      <rgbColor rgb="FF1F8A85"/>
      <rgbColor rgb="FFC0C0C0"/>
      <rgbColor rgb="FF808080"/>
      <rgbColor rgb="FF9999FF"/>
      <rgbColor rgb="FF993366"/>
      <rgbColor rgb="FFFFF7E6"/>
      <rgbColor rgb="FFCCFFFF"/>
      <rgbColor rgb="FF660066"/>
      <rgbColor rgb="FFFF8080"/>
      <rgbColor rgb="FF0066CC"/>
      <rgbColor rgb="FFD9DE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0232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10" customWidth="1" style="20" min="1" max="1"/>
  </cols>
  <sheetData>
    <row r="1" ht="25.5" customHeight="1" s="21">
      <c r="A1" s="22" t="inlineStr">
        <is>
          <t>Hearthrise — Balance / Economy Workbook</t>
        </is>
      </c>
    </row>
    <row r="2" ht="15" customHeight="1" s="21">
      <c r="A2" s="23" t="n"/>
    </row>
    <row r="3" ht="15" customHeight="1" s="21">
      <c r="A3" s="23" t="inlineStr">
        <is>
          <t>This workbook holds every tunable number for the game economy.</t>
        </is>
      </c>
    </row>
    <row r="4" ht="15" customHeight="1" s="21">
      <c r="A4" s="23" t="inlineStr">
        <is>
          <t>Numbers are starting points, written to be adjusted before being committed to game code.</t>
        </is>
      </c>
    </row>
    <row r="5" ht="15" customHeight="1" s="21">
      <c r="A5" s="23" t="n"/>
    </row>
    <row r="6" ht="15" customHeight="1" s="21">
      <c r="A6" s="24" t="inlineStr">
        <is>
          <t>How to read each sheet:</t>
        </is>
      </c>
    </row>
    <row r="7" ht="15" customHeight="1" s="21">
      <c r="A7" s="23" t="inlineStr">
        <is>
          <t xml:space="preserve">  • Headings are amber; data rows alternate light blue.</t>
        </is>
      </c>
    </row>
    <row r="8" ht="15" customHeight="1" s="21">
      <c r="A8" s="23" t="inlineStr">
        <is>
          <t xml:space="preserve">  • Blue numeric cells are inputs (change me).</t>
        </is>
      </c>
    </row>
    <row r="9" ht="15" customHeight="1" s="21">
      <c r="A9" s="23" t="inlineStr">
        <is>
          <t xml:space="preserve">  • Black numeric cells are formulas (don't change directly — change the input they pull from).</t>
        </is>
      </c>
    </row>
    <row r="10" ht="15" customHeight="1" s="21">
      <c r="A10" s="23" t="inlineStr">
        <is>
          <t xml:space="preserve">  • All formulas use cell references so changing one input updates downstream numbers.</t>
        </is>
      </c>
    </row>
    <row r="11" ht="15" customHeight="1" s="21">
      <c r="A11" s="23" t="n"/>
    </row>
    <row r="12" ht="15" customHeight="1" s="21">
      <c r="A12" s="24" t="inlineStr">
        <is>
          <t>Sheet index:</t>
        </is>
      </c>
    </row>
    <row r="13" ht="15" customHeight="1" s="21">
      <c r="A13" s="23" t="inlineStr">
        <is>
          <t xml:space="preserve">  README          — you are here</t>
        </is>
      </c>
    </row>
    <row r="14" ht="15" customHeight="1" s="21">
      <c r="A14" s="23" t="inlineStr">
        <is>
          <t xml:space="preserve">  Skill_Endgames  — one row per skill: terminal goal, prerequisite tier</t>
        </is>
      </c>
    </row>
    <row r="15" ht="15" customHeight="1" s="21">
      <c r="A15" s="23" t="inlineStr">
        <is>
          <t xml:space="preserve">  Tier_Ladder     — the six material tiers and what each contains</t>
        </is>
      </c>
    </row>
    <row r="16" ht="15" customHeight="1" s="21">
      <c r="A16" s="23" t="inlineStr">
        <is>
          <t xml:space="preserve">  XP_Curve        — OSRS-style XP table (read-only reference)</t>
        </is>
      </c>
    </row>
    <row r="17" ht="15" customHeight="1" s="21">
      <c r="A17" s="23" t="inlineStr">
        <is>
          <t xml:space="preserve">  Smithing        — bar recipes and XP rates</t>
        </is>
      </c>
    </row>
    <row r="18" ht="15" customHeight="1" s="21">
      <c r="A18" s="23" t="inlineStr">
        <is>
          <t xml:space="preserve">  Crafting        — leather / cloth / jewelry recipes</t>
        </is>
      </c>
    </row>
    <row r="19" ht="15" customHeight="1" s="21">
      <c r="A19" s="23" t="inlineStr">
        <is>
          <t xml:space="preserve">  Cooking         — food + buff food recipes</t>
        </is>
      </c>
    </row>
    <row r="20" ht="15" customHeight="1" s="21">
      <c r="A20" s="23" t="inlineStr">
        <is>
          <t xml:space="preserve">  Tools           — the iron-pan pattern (pickaxe, hatchet, rod, hoe, cookware, etc)</t>
        </is>
      </c>
    </row>
    <row r="21" ht="15" customHeight="1" s="21">
      <c r="A21" s="23" t="inlineStr">
        <is>
          <t xml:space="preserve">  Combat_Gear     — full armor/weapon ladder</t>
        </is>
      </c>
    </row>
    <row r="22" ht="15" customHeight="1" s="21">
      <c r="A22" s="23" t="inlineStr">
        <is>
          <t xml:space="preserve">  House_Rooms     — homestead rooms, costs, bonuses</t>
        </is>
      </c>
    </row>
    <row r="23" ht="15" customHeight="1" s="21">
      <c r="A23" s="23" t="inlineStr">
        <is>
          <t xml:space="preserve">  Clan_Castle     — pooled-cost ladder for the social endgame</t>
        </is>
      </c>
    </row>
    <row r="24" ht="15" customHeight="1" s="21">
      <c r="A24" s="23" t="inlineStr">
        <is>
          <t xml:space="preserve">  Drop_Rates      — monster drops + expected yield per hour formulas</t>
        </is>
      </c>
    </row>
    <row r="25" ht="15" customHeight="1" s="21">
      <c r="A25" s="23" t="inlineStr">
        <is>
          <t xml:space="preserve">  Currency        — faucet vs sink audit for gold and gems</t>
        </is>
      </c>
    </row>
    <row r="26" ht="15" customHeight="1" s="21">
      <c r="A26" s="23" t="n"/>
    </row>
    <row r="27" ht="15" customHeight="1" s="21">
      <c r="A27" s="23" t="inlineStr">
        <is>
          <t>Companion design doc: hearthbound-design.docx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20" min="1" max="1"/>
    <col width="12" customWidth="1" style="20" min="2" max="2"/>
    <col width="50" customWidth="1" style="20" min="3" max="3"/>
    <col width="32" customWidth="1" style="20" min="4" max="4"/>
    <col width="38" customWidth="1" style="20" min="5" max="5"/>
  </cols>
  <sheetData>
    <row r="1" ht="21.75" customHeight="1" s="21">
      <c r="A1" s="25" t="inlineStr">
        <is>
          <t>Skill</t>
        </is>
      </c>
      <c r="B1" s="25" t="inlineStr">
        <is>
          <t>Category</t>
        </is>
      </c>
      <c r="C1" s="25" t="inlineStr">
        <is>
          <t>Endgame goal</t>
        </is>
      </c>
      <c r="D1" s="25" t="inlineStr">
        <is>
          <t>Required for</t>
        </is>
      </c>
      <c r="E1" s="25" t="inlineStr">
        <is>
          <t>Other skills required at lv 70+</t>
        </is>
      </c>
    </row>
    <row r="2" ht="18" customHeight="1" s="21">
      <c r="A2" s="26" t="inlineStr">
        <is>
          <t>Attack</t>
        </is>
      </c>
      <c r="B2" s="26" t="inlineStr">
        <is>
          <t>Combat</t>
        </is>
      </c>
      <c r="C2" s="26" t="inlineStr">
        <is>
          <t>Champion's Edict + token drop on rare bosses</t>
        </is>
      </c>
      <c r="D2" s="26" t="inlineStr">
        <is>
          <t>Lead clan raids</t>
        </is>
      </c>
      <c r="E2" s="26" t="inlineStr">
        <is>
          <t>Smithing (gear), Hitpoints</t>
        </is>
      </c>
    </row>
    <row r="3" ht="18" customHeight="1" s="21">
      <c r="A3" s="27" t="inlineStr">
        <is>
          <t>Strength</t>
        </is>
      </c>
      <c r="B3" s="27" t="inlineStr">
        <is>
          <t>Combat</t>
        </is>
      </c>
      <c r="C3" s="27" t="inlineStr">
        <is>
          <t>Mountain Heart drop → Heart of Stone necklace (+15 STR)</t>
        </is>
      </c>
      <c r="D3" s="27" t="inlineStr">
        <is>
          <t>Solo achievement</t>
        </is>
      </c>
      <c r="E3" s="27" t="inlineStr">
        <is>
          <t>Smithing, Hitpoints</t>
        </is>
      </c>
    </row>
    <row r="4" ht="18" customHeight="1" s="21">
      <c r="A4" s="26" t="inlineStr">
        <is>
          <t>Defense</t>
        </is>
      </c>
      <c r="B4" s="26" t="inlineStr">
        <is>
          <t>Combat</t>
        </is>
      </c>
      <c r="C4" s="26" t="inlineStr">
        <is>
          <t>Bulwark stance (1 hit to 1HP)</t>
        </is>
      </c>
      <c r="D4" s="26" t="inlineStr">
        <is>
          <t>World boss raids</t>
        </is>
      </c>
      <c r="E4" s="26" t="inlineStr">
        <is>
          <t>Smithing, Hitpoints</t>
        </is>
      </c>
    </row>
    <row r="5" ht="18" customHeight="1" s="21">
      <c r="A5" s="27" t="inlineStr">
        <is>
          <t>Hitpoints</t>
        </is>
      </c>
      <c r="B5" s="27" t="inlineStr">
        <is>
          <t>Combat</t>
        </is>
      </c>
      <c r="C5" s="27" t="inlineStr">
        <is>
          <t>Beastmaster: tame named companions</t>
        </is>
      </c>
      <c r="D5" s="27" t="inlineStr">
        <is>
          <t>Castle T4+ raids</t>
        </is>
      </c>
      <c r="E5" s="27" t="inlineStr">
        <is>
          <t>All gather skills (tame quests)</t>
        </is>
      </c>
    </row>
    <row r="6" ht="18" customHeight="1" s="21">
      <c r="A6" s="26" t="inlineStr">
        <is>
          <t>Prayer</t>
        </is>
      </c>
      <c r="B6" s="26" t="inlineStr">
        <is>
          <t>Combat</t>
        </is>
      </c>
      <c r="C6" s="26" t="inlineStr">
        <is>
          <t>Sanctity: bone bury XP shared with clan</t>
        </is>
      </c>
      <c r="D6" s="26" t="inlineStr">
        <is>
          <t>Bone Censer cosmetic; party blessing</t>
        </is>
      </c>
      <c r="E6" s="26" t="inlineStr">
        <is>
          <t>Crafting (censer), Hitpoints</t>
        </is>
      </c>
    </row>
    <row r="7" ht="18" customHeight="1" s="21">
      <c r="A7" s="27" t="inlineStr">
        <is>
          <t>Magic</t>
        </is>
      </c>
      <c r="B7" s="27" t="inlineStr">
        <is>
          <t>Combat</t>
        </is>
      </c>
      <c r="C7" s="27" t="inlineStr">
        <is>
          <t>Teleport network + ancient rune forging</t>
        </is>
      </c>
      <c r="D7" s="27" t="inlineStr">
        <is>
          <t>Enchanting jewelry</t>
        </is>
      </c>
      <c r="E7" s="27" t="inlineStr">
        <is>
          <t>Mining (runite), Crafting</t>
        </is>
      </c>
    </row>
    <row r="8" ht="18" customHeight="1" s="21">
      <c r="A8" s="26" t="inlineStr">
        <is>
          <t>Woodcutting</t>
        </is>
      </c>
      <c r="B8" s="26" t="inlineStr">
        <is>
          <t>Gather</t>
        </is>
      </c>
      <c r="C8" s="26" t="inlineStr">
        <is>
          <t>Magic Tree spawns</t>
        </is>
      </c>
      <c r="D8" s="26" t="inlineStr">
        <is>
          <t>T6 tool handles</t>
        </is>
      </c>
      <c r="E8" s="26" t="inlineStr">
        <is>
          <t>Smithing</t>
        </is>
      </c>
    </row>
    <row r="9" ht="18" customHeight="1" s="21">
      <c r="A9" s="27" t="inlineStr">
        <is>
          <t>Mining</t>
        </is>
      </c>
      <c r="B9" s="27" t="inlineStr">
        <is>
          <t>Gather</t>
        </is>
      </c>
      <c r="C9" s="27" t="inlineStr">
        <is>
          <t>Crystal Mine zone + Orichalcum</t>
        </is>
      </c>
      <c r="D9" s="27" t="inlineStr">
        <is>
          <t>Mythic pickaxe</t>
        </is>
      </c>
      <c r="E9" s="27" t="inlineStr">
        <is>
          <t>Smithing, Magic</t>
        </is>
      </c>
    </row>
    <row r="10" ht="18" customHeight="1" s="21">
      <c r="A10" s="26" t="inlineStr">
        <is>
          <t>Fishing</t>
        </is>
      </c>
      <c r="B10" s="26" t="inlineStr">
        <is>
          <t>Gather</t>
        </is>
      </c>
      <c r="C10" s="26" t="inlineStr">
        <is>
          <t>Manta + Crystal Fish</t>
        </is>
      </c>
      <c r="D10" s="26" t="inlineStr">
        <is>
          <t>Phoenix Stew, overheal</t>
        </is>
      </c>
      <c r="E10" s="26" t="inlineStr">
        <is>
          <t>Cooking</t>
        </is>
      </c>
    </row>
    <row r="11" ht="18" customHeight="1" s="21">
      <c r="A11" s="27" t="inlineStr">
        <is>
          <t>Farming</t>
        </is>
      </c>
      <c r="B11" s="27" t="inlineStr">
        <is>
          <t>Gather</t>
        </is>
      </c>
      <c r="C11" s="27" t="inlineStr">
        <is>
          <t>Magic Berry Bush (+50,000 XP item daily)</t>
        </is>
      </c>
      <c r="D11" s="27" t="inlineStr">
        <is>
          <t>Single best XP item</t>
        </is>
      </c>
      <c r="E11" s="27" t="inlineStr">
        <is>
          <t>Cooking, Crafting</t>
        </is>
      </c>
    </row>
    <row r="12" ht="18" customHeight="1" s="21">
      <c r="A12" s="26" t="inlineStr">
        <is>
          <t>Cooking</t>
        </is>
      </c>
      <c r="B12" s="26" t="inlineStr">
        <is>
          <t>Artisan</t>
        </is>
      </c>
      <c r="C12" s="26" t="inlineStr">
        <is>
          <t>Phoenix Stew + Feast Hall mode</t>
        </is>
      </c>
      <c r="D12" s="26" t="inlineStr">
        <is>
          <t>Clan-wide buff cooking</t>
        </is>
      </c>
      <c r="E12" s="26" t="inlineStr">
        <is>
          <t>Fishing, Farming, Smithing (Dragon Cauldron)</t>
        </is>
      </c>
    </row>
    <row r="13" ht="18" customHeight="1" s="21">
      <c r="A13" s="27" t="inlineStr">
        <is>
          <t>Crafting</t>
        </is>
      </c>
      <c r="B13" s="27" t="inlineStr">
        <is>
          <t>Artisan</t>
        </is>
      </c>
      <c r="C13" s="27" t="inlineStr">
        <is>
          <t>Living Cloak (auto-swap gear by zone)</t>
        </is>
      </c>
      <c r="D13" s="27" t="inlineStr">
        <is>
          <t>Endgame QOL</t>
        </is>
      </c>
      <c r="E13" s="27" t="inlineStr">
        <is>
          <t>Magic, Smithing</t>
        </is>
      </c>
    </row>
    <row r="14" ht="18" customHeight="1" s="21">
      <c r="A14" s="26" t="inlineStr">
        <is>
          <t>Smithing</t>
        </is>
      </c>
      <c r="B14" s="26" t="inlineStr">
        <is>
          <t>Artisan</t>
        </is>
      </c>
      <c r="C14" s="26" t="inlineStr">
        <is>
          <t>Mythic forging (1 weekly random Mythic)</t>
        </is>
      </c>
      <c r="D14" s="26" t="inlineStr">
        <is>
          <t>Strongest weapons</t>
        </is>
      </c>
      <c r="E14" s="26" t="inlineStr">
        <is>
          <t>Mining, Woodcutting, Magic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20" min="1" max="1"/>
    <col width="8" customWidth="1" style="20" min="2" max="2"/>
    <col width="12" customWidth="1" style="20" min="3" max="3"/>
    <col width="14" customWidth="1" style="20" min="4" max="4"/>
    <col width="13" customWidth="1" style="20" min="5" max="5"/>
    <col width="16" customWidth="1" style="20" min="6" max="6"/>
    <col width="18" customWidth="1" style="20" min="7" max="7"/>
    <col width="28" customWidth="1" style="20" min="8" max="8"/>
    <col width="14" customWidth="1" style="20" min="9" max="9"/>
  </cols>
  <sheetData>
    <row r="1" ht="21.75" customHeight="1" s="21">
      <c r="A1" s="25" t="inlineStr">
        <is>
          <t>Tier</t>
        </is>
      </c>
      <c r="B1" s="25" t="inlineStr">
        <is>
          <t>Lv band</t>
        </is>
      </c>
      <c r="C1" s="25" t="inlineStr">
        <is>
          <t>Wood</t>
        </is>
      </c>
      <c r="D1" s="25" t="inlineStr">
        <is>
          <t>Ore</t>
        </is>
      </c>
      <c r="E1" s="25" t="inlineStr">
        <is>
          <t>Bar</t>
        </is>
      </c>
      <c r="F1" s="25" t="inlineStr">
        <is>
          <t>Fish</t>
        </is>
      </c>
      <c r="G1" s="25" t="inlineStr">
        <is>
          <t>Crop</t>
        </is>
      </c>
      <c r="H1" s="25" t="inlineStr">
        <is>
          <t>Hide / drop</t>
        </is>
      </c>
      <c r="I1" s="25" t="inlineStr">
        <is>
          <t>Avg action time (s)</t>
        </is>
      </c>
    </row>
    <row r="2" ht="18" customHeight="1" s="21">
      <c r="A2" s="26" t="inlineStr">
        <is>
          <t>T1 Bronze</t>
        </is>
      </c>
      <c r="B2" s="26" t="inlineStr">
        <is>
          <t>1–14</t>
        </is>
      </c>
      <c r="C2" s="26" t="inlineStr">
        <is>
          <t>Normal Log</t>
        </is>
      </c>
      <c r="D2" s="26" t="inlineStr">
        <is>
          <t>Copper / Tin</t>
        </is>
      </c>
      <c r="E2" s="26" t="inlineStr">
        <is>
          <t>Bronze Bar</t>
        </is>
      </c>
      <c r="F2" s="26" t="inlineStr">
        <is>
          <t>Shrimp</t>
        </is>
      </c>
      <c r="G2" s="26" t="inlineStr">
        <is>
          <t>Turnip</t>
        </is>
      </c>
      <c r="H2" s="26" t="inlineStr">
        <is>
          <t>Goblin Ear, Bones</t>
        </is>
      </c>
      <c r="I2" s="28" t="n">
        <v>3</v>
      </c>
    </row>
    <row r="3" ht="18" customHeight="1" s="21">
      <c r="A3" s="27" t="inlineStr">
        <is>
          <t>T2 Iron</t>
        </is>
      </c>
      <c r="B3" s="27" t="inlineStr">
        <is>
          <t>15–29</t>
        </is>
      </c>
      <c r="C3" s="27" t="inlineStr">
        <is>
          <t>Oak Log</t>
        </is>
      </c>
      <c r="D3" s="27" t="inlineStr">
        <is>
          <t>Iron</t>
        </is>
      </c>
      <c r="E3" s="27" t="inlineStr">
        <is>
          <t>Iron Bar</t>
        </is>
      </c>
      <c r="F3" s="27" t="inlineStr">
        <is>
          <t>Trout</t>
        </is>
      </c>
      <c r="G3" s="27" t="inlineStr">
        <is>
          <t>Carrot, Wheat</t>
        </is>
      </c>
      <c r="H3" s="27" t="inlineStr">
        <is>
          <t>Wolf Pelt</t>
        </is>
      </c>
      <c r="I3" s="29" t="n">
        <v>4</v>
      </c>
    </row>
    <row r="4" ht="18" customHeight="1" s="21">
      <c r="A4" s="26" t="inlineStr">
        <is>
          <t>T3 Steel</t>
        </is>
      </c>
      <c r="B4" s="26" t="inlineStr">
        <is>
          <t>30–49</t>
        </is>
      </c>
      <c r="C4" s="26" t="inlineStr">
        <is>
          <t>Willow Log</t>
        </is>
      </c>
      <c r="D4" s="26" t="inlineStr">
        <is>
          <t>Coal + Iron</t>
        </is>
      </c>
      <c r="E4" s="26" t="inlineStr">
        <is>
          <t>Steel Bar</t>
        </is>
      </c>
      <c r="F4" s="26" t="inlineStr">
        <is>
          <t>Lobster</t>
        </is>
      </c>
      <c r="G4" s="26" t="inlineStr">
        <is>
          <t>Potato, Tomato</t>
        </is>
      </c>
      <c r="H4" s="26" t="inlineStr">
        <is>
          <t>Troll Hide</t>
        </is>
      </c>
      <c r="I4" s="28" t="n">
        <v>5.5</v>
      </c>
    </row>
    <row r="5" ht="18" customHeight="1" s="21">
      <c r="A5" s="27" t="inlineStr">
        <is>
          <t>T4 Mithril</t>
        </is>
      </c>
      <c r="B5" s="27" t="inlineStr">
        <is>
          <t>50–69</t>
        </is>
      </c>
      <c r="C5" s="27" t="inlineStr">
        <is>
          <t>Maple Log</t>
        </is>
      </c>
      <c r="D5" s="27" t="inlineStr">
        <is>
          <t>Mithril</t>
        </is>
      </c>
      <c r="E5" s="27" t="inlineStr">
        <is>
          <t>Mithril Bar</t>
        </is>
      </c>
      <c r="F5" s="27" t="inlineStr">
        <is>
          <t>Swordfish</t>
        </is>
      </c>
      <c r="G5" s="27" t="inlineStr">
        <is>
          <t>Pumpkin, M.Berry</t>
        </is>
      </c>
      <c r="H5" s="27" t="inlineStr">
        <is>
          <t>Vampire Dust</t>
        </is>
      </c>
      <c r="I5" s="29" t="n">
        <v>7</v>
      </c>
    </row>
    <row r="6" ht="18" customHeight="1" s="21">
      <c r="A6" s="26" t="inlineStr">
        <is>
          <t>T5 Adamant</t>
        </is>
      </c>
      <c r="B6" s="26" t="inlineStr">
        <is>
          <t>70–84</t>
        </is>
      </c>
      <c r="C6" s="26" t="inlineStr">
        <is>
          <t>Yew Log</t>
        </is>
      </c>
      <c r="D6" s="26" t="inlineStr">
        <is>
          <t>Adamantite</t>
        </is>
      </c>
      <c r="E6" s="26" t="inlineStr">
        <is>
          <t>Adamant Bar</t>
        </is>
      </c>
      <c r="F6" s="26" t="inlineStr">
        <is>
          <t>Shark</t>
        </is>
      </c>
      <c r="G6" s="26" t="inlineStr">
        <is>
          <t>Mooncap Mushroom</t>
        </is>
      </c>
      <c r="H6" s="26" t="inlineStr">
        <is>
          <t>Demon Shard, Dragon Scale</t>
        </is>
      </c>
      <c r="I6" s="28" t="n">
        <v>9</v>
      </c>
    </row>
    <row r="7" ht="18" customHeight="1" s="21">
      <c r="A7" s="27" t="inlineStr">
        <is>
          <t>T6 Rune</t>
        </is>
      </c>
      <c r="B7" s="27" t="inlineStr">
        <is>
          <t>85–99</t>
        </is>
      </c>
      <c r="C7" s="27" t="inlineStr">
        <is>
          <t>Magic Log</t>
        </is>
      </c>
      <c r="D7" s="27" t="inlineStr">
        <is>
          <t>Runite</t>
        </is>
      </c>
      <c r="E7" s="27" t="inlineStr">
        <is>
          <t>Rune Bar</t>
        </is>
      </c>
      <c r="F7" s="27" t="inlineStr">
        <is>
          <t>Manta, Crystal</t>
        </is>
      </c>
      <c r="G7" s="27" t="inlineStr">
        <is>
          <t>Crystal Wheat</t>
        </is>
      </c>
      <c r="H7" s="27" t="inlineStr">
        <is>
          <t>Lich Soul, Phoenix Feather</t>
        </is>
      </c>
      <c r="I7" s="29" t="n">
        <v>12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9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20" min="1" max="1"/>
    <col width="14" customWidth="1" style="20" min="2" max="2"/>
    <col width="18" customWidth="1" style="20" min="3" max="3"/>
  </cols>
  <sheetData>
    <row r="1" ht="21.75" customHeight="1" s="21">
      <c r="A1" s="25" t="inlineStr">
        <is>
          <t>Level</t>
        </is>
      </c>
      <c r="B1" s="25" t="inlineStr">
        <is>
          <t>Cumulative XP</t>
        </is>
      </c>
      <c r="C1" s="25" t="inlineStr">
        <is>
          <t>XP gained from prev</t>
        </is>
      </c>
    </row>
    <row r="2" ht="18" customHeight="1" s="21">
      <c r="A2" s="26" t="n">
        <v>1</v>
      </c>
      <c r="B2" s="28" t="n">
        <v>0</v>
      </c>
      <c r="C2" s="28" t="n"/>
    </row>
    <row r="3" ht="18" customHeight="1" s="21">
      <c r="A3" s="27" t="n">
        <v>2</v>
      </c>
      <c r="B3" s="29" t="n">
        <v>83</v>
      </c>
      <c r="C3" s="30">
        <f>B3-B2</f>
        <v/>
      </c>
    </row>
    <row r="4" ht="18" customHeight="1" s="21">
      <c r="A4" s="26" t="n">
        <v>3</v>
      </c>
      <c r="B4" s="28" t="n">
        <v>174</v>
      </c>
      <c r="C4" s="31">
        <f>B4-B3</f>
        <v/>
      </c>
    </row>
    <row r="5" ht="18" customHeight="1" s="21">
      <c r="A5" s="27" t="n">
        <v>4</v>
      </c>
      <c r="B5" s="29" t="n">
        <v>276</v>
      </c>
      <c r="C5" s="30">
        <f>B5-B4</f>
        <v/>
      </c>
    </row>
    <row r="6" ht="18" customHeight="1" s="21">
      <c r="A6" s="26" t="n">
        <v>5</v>
      </c>
      <c r="B6" s="28" t="n">
        <v>388</v>
      </c>
      <c r="C6" s="31">
        <f>B6-B5</f>
        <v/>
      </c>
    </row>
    <row r="7" ht="18" customHeight="1" s="21">
      <c r="A7" s="27" t="n">
        <v>6</v>
      </c>
      <c r="B7" s="29" t="n">
        <v>512</v>
      </c>
      <c r="C7" s="30">
        <f>B7-B6</f>
        <v/>
      </c>
    </row>
    <row r="8" ht="18" customHeight="1" s="21">
      <c r="A8" s="26" t="n">
        <v>7</v>
      </c>
      <c r="B8" s="28" t="n">
        <v>650</v>
      </c>
      <c r="C8" s="31">
        <f>B8-B7</f>
        <v/>
      </c>
    </row>
    <row r="9" ht="18" customHeight="1" s="21">
      <c r="A9" s="27" t="n">
        <v>8</v>
      </c>
      <c r="B9" s="29" t="n">
        <v>801</v>
      </c>
      <c r="C9" s="30">
        <f>B9-B8</f>
        <v/>
      </c>
    </row>
    <row r="10" ht="18" customHeight="1" s="21">
      <c r="A10" s="26" t="n">
        <v>9</v>
      </c>
      <c r="B10" s="28" t="n">
        <v>969</v>
      </c>
      <c r="C10" s="31">
        <f>B10-B9</f>
        <v/>
      </c>
    </row>
    <row r="11" ht="18" customHeight="1" s="21">
      <c r="A11" s="27" t="n">
        <v>10</v>
      </c>
      <c r="B11" s="29" t="n">
        <v>1154</v>
      </c>
      <c r="C11" s="30">
        <f>B11-B10</f>
        <v/>
      </c>
    </row>
    <row r="12" ht="18" customHeight="1" s="21">
      <c r="A12" s="26" t="n">
        <v>11</v>
      </c>
      <c r="B12" s="28" t="n">
        <v>1358</v>
      </c>
      <c r="C12" s="31">
        <f>B12-B11</f>
        <v/>
      </c>
    </row>
    <row r="13" ht="18" customHeight="1" s="21">
      <c r="A13" s="27" t="n">
        <v>12</v>
      </c>
      <c r="B13" s="29" t="n">
        <v>1584</v>
      </c>
      <c r="C13" s="30">
        <f>B13-B12</f>
        <v/>
      </c>
    </row>
    <row r="14" ht="18" customHeight="1" s="21">
      <c r="A14" s="26" t="n">
        <v>13</v>
      </c>
      <c r="B14" s="28" t="n">
        <v>1833</v>
      </c>
      <c r="C14" s="31">
        <f>B14-B13</f>
        <v/>
      </c>
    </row>
    <row r="15" ht="18" customHeight="1" s="21">
      <c r="A15" s="27" t="n">
        <v>14</v>
      </c>
      <c r="B15" s="29" t="n">
        <v>2107</v>
      </c>
      <c r="C15" s="30">
        <f>B15-B14</f>
        <v/>
      </c>
    </row>
    <row r="16" ht="18" customHeight="1" s="21">
      <c r="A16" s="26" t="n">
        <v>15</v>
      </c>
      <c r="B16" s="28" t="n">
        <v>2411</v>
      </c>
      <c r="C16" s="31">
        <f>B16-B15</f>
        <v/>
      </c>
    </row>
    <row r="17" ht="18" customHeight="1" s="21">
      <c r="A17" s="27" t="n">
        <v>16</v>
      </c>
      <c r="B17" s="29" t="n">
        <v>2746</v>
      </c>
      <c r="C17" s="30">
        <f>B17-B16</f>
        <v/>
      </c>
    </row>
    <row r="18" ht="18" customHeight="1" s="21">
      <c r="A18" s="26" t="n">
        <v>17</v>
      </c>
      <c r="B18" s="28" t="n">
        <v>3115</v>
      </c>
      <c r="C18" s="31">
        <f>B18-B17</f>
        <v/>
      </c>
    </row>
    <row r="19" ht="18" customHeight="1" s="21">
      <c r="A19" s="27" t="n">
        <v>18</v>
      </c>
      <c r="B19" s="29" t="n">
        <v>3523</v>
      </c>
      <c r="C19" s="30">
        <f>B19-B18</f>
        <v/>
      </c>
    </row>
    <row r="20" ht="18" customHeight="1" s="21">
      <c r="A20" s="26" t="n">
        <v>19</v>
      </c>
      <c r="B20" s="28" t="n">
        <v>3973</v>
      </c>
      <c r="C20" s="31">
        <f>B20-B19</f>
        <v/>
      </c>
    </row>
    <row r="21" ht="18" customHeight="1" s="21">
      <c r="A21" s="27" t="n">
        <v>20</v>
      </c>
      <c r="B21" s="29" t="n">
        <v>4470</v>
      </c>
      <c r="C21" s="30">
        <f>B21-B20</f>
        <v/>
      </c>
    </row>
    <row r="22" ht="18" customHeight="1" s="21">
      <c r="A22" s="26" t="n">
        <v>21</v>
      </c>
      <c r="B22" s="28" t="n">
        <v>5018</v>
      </c>
      <c r="C22" s="31">
        <f>B22-B21</f>
        <v/>
      </c>
    </row>
    <row r="23" ht="18" customHeight="1" s="21">
      <c r="A23" s="27" t="n">
        <v>22</v>
      </c>
      <c r="B23" s="29" t="n">
        <v>5624</v>
      </c>
      <c r="C23" s="30">
        <f>B23-B22</f>
        <v/>
      </c>
    </row>
    <row r="24" ht="18" customHeight="1" s="21">
      <c r="A24" s="26" t="n">
        <v>23</v>
      </c>
      <c r="B24" s="28" t="n">
        <v>6291</v>
      </c>
      <c r="C24" s="31">
        <f>B24-B23</f>
        <v/>
      </c>
    </row>
    <row r="25" ht="18" customHeight="1" s="21">
      <c r="A25" s="27" t="n">
        <v>24</v>
      </c>
      <c r="B25" s="29" t="n">
        <v>7028</v>
      </c>
      <c r="C25" s="30">
        <f>B25-B24</f>
        <v/>
      </c>
    </row>
    <row r="26" ht="18" customHeight="1" s="21">
      <c r="A26" s="26" t="n">
        <v>25</v>
      </c>
      <c r="B26" s="28" t="n">
        <v>7842</v>
      </c>
      <c r="C26" s="31">
        <f>B26-B25</f>
        <v/>
      </c>
    </row>
    <row r="27" ht="18" customHeight="1" s="21">
      <c r="A27" s="27" t="n">
        <v>26</v>
      </c>
      <c r="B27" s="29" t="n">
        <v>8740</v>
      </c>
      <c r="C27" s="30">
        <f>B27-B26</f>
        <v/>
      </c>
    </row>
    <row r="28" ht="18" customHeight="1" s="21">
      <c r="A28" s="26" t="n">
        <v>27</v>
      </c>
      <c r="B28" s="28" t="n">
        <v>9730</v>
      </c>
      <c r="C28" s="31">
        <f>B28-B27</f>
        <v/>
      </c>
    </row>
    <row r="29" ht="18" customHeight="1" s="21">
      <c r="A29" s="27" t="n">
        <v>28</v>
      </c>
      <c r="B29" s="29" t="n">
        <v>10824</v>
      </c>
      <c r="C29" s="30">
        <f>B29-B28</f>
        <v/>
      </c>
    </row>
    <row r="30" ht="18" customHeight="1" s="21">
      <c r="A30" s="26" t="n">
        <v>29</v>
      </c>
      <c r="B30" s="28" t="n">
        <v>12031</v>
      </c>
      <c r="C30" s="31">
        <f>B30-B29</f>
        <v/>
      </c>
    </row>
    <row r="31" ht="18" customHeight="1" s="21">
      <c r="A31" s="27" t="n">
        <v>30</v>
      </c>
      <c r="B31" s="29" t="n">
        <v>13363</v>
      </c>
      <c r="C31" s="30">
        <f>B31-B30</f>
        <v/>
      </c>
    </row>
    <row r="32" ht="18" customHeight="1" s="21">
      <c r="A32" s="26" t="n">
        <v>31</v>
      </c>
      <c r="B32" s="28" t="n">
        <v>14833</v>
      </c>
      <c r="C32" s="31">
        <f>B32-B31</f>
        <v/>
      </c>
    </row>
    <row r="33" ht="18" customHeight="1" s="21">
      <c r="A33" s="27" t="n">
        <v>32</v>
      </c>
      <c r="B33" s="29" t="n">
        <v>16456</v>
      </c>
      <c r="C33" s="30">
        <f>B33-B32</f>
        <v/>
      </c>
    </row>
    <row r="34" ht="18" customHeight="1" s="21">
      <c r="A34" s="26" t="n">
        <v>33</v>
      </c>
      <c r="B34" s="28" t="n">
        <v>18247</v>
      </c>
      <c r="C34" s="31">
        <f>B34-B33</f>
        <v/>
      </c>
    </row>
    <row r="35" ht="18" customHeight="1" s="21">
      <c r="A35" s="27" t="n">
        <v>34</v>
      </c>
      <c r="B35" s="29" t="n">
        <v>20224</v>
      </c>
      <c r="C35" s="30">
        <f>B35-B34</f>
        <v/>
      </c>
    </row>
    <row r="36" ht="18" customHeight="1" s="21">
      <c r="A36" s="26" t="n">
        <v>35</v>
      </c>
      <c r="B36" s="28" t="n">
        <v>22406</v>
      </c>
      <c r="C36" s="31">
        <f>B36-B35</f>
        <v/>
      </c>
    </row>
    <row r="37" ht="18" customHeight="1" s="21">
      <c r="A37" s="27" t="n">
        <v>36</v>
      </c>
      <c r="B37" s="29" t="n">
        <v>24815</v>
      </c>
      <c r="C37" s="30">
        <f>B37-B36</f>
        <v/>
      </c>
    </row>
    <row r="38" ht="18" customHeight="1" s="21">
      <c r="A38" s="26" t="n">
        <v>37</v>
      </c>
      <c r="B38" s="28" t="n">
        <v>27473</v>
      </c>
      <c r="C38" s="31">
        <f>B38-B37</f>
        <v/>
      </c>
    </row>
    <row r="39" ht="18" customHeight="1" s="21">
      <c r="A39" s="27" t="n">
        <v>38</v>
      </c>
      <c r="B39" s="29" t="n">
        <v>30408</v>
      </c>
      <c r="C39" s="30">
        <f>B39-B38</f>
        <v/>
      </c>
    </row>
    <row r="40" ht="18" customHeight="1" s="21">
      <c r="A40" s="26" t="n">
        <v>39</v>
      </c>
      <c r="B40" s="28" t="n">
        <v>33648</v>
      </c>
      <c r="C40" s="31">
        <f>B40-B39</f>
        <v/>
      </c>
    </row>
    <row r="41" ht="18" customHeight="1" s="21">
      <c r="A41" s="27" t="n">
        <v>40</v>
      </c>
      <c r="B41" s="29" t="n">
        <v>37224</v>
      </c>
      <c r="C41" s="30">
        <f>B41-B40</f>
        <v/>
      </c>
    </row>
    <row r="42" ht="18" customHeight="1" s="21">
      <c r="A42" s="26" t="n">
        <v>41</v>
      </c>
      <c r="B42" s="28" t="n">
        <v>41171</v>
      </c>
      <c r="C42" s="31">
        <f>B42-B41</f>
        <v/>
      </c>
    </row>
    <row r="43" ht="18" customHeight="1" s="21">
      <c r="A43" s="27" t="n">
        <v>42</v>
      </c>
      <c r="B43" s="29" t="n">
        <v>45529</v>
      </c>
      <c r="C43" s="30">
        <f>B43-B42</f>
        <v/>
      </c>
    </row>
    <row r="44" ht="18" customHeight="1" s="21">
      <c r="A44" s="26" t="n">
        <v>43</v>
      </c>
      <c r="B44" s="28" t="n">
        <v>50339</v>
      </c>
      <c r="C44" s="31">
        <f>B44-B43</f>
        <v/>
      </c>
    </row>
    <row r="45" ht="18" customHeight="1" s="21">
      <c r="A45" s="27" t="n">
        <v>44</v>
      </c>
      <c r="B45" s="29" t="n">
        <v>55649</v>
      </c>
      <c r="C45" s="30">
        <f>B45-B44</f>
        <v/>
      </c>
    </row>
    <row r="46" ht="18" customHeight="1" s="21">
      <c r="A46" s="26" t="n">
        <v>45</v>
      </c>
      <c r="B46" s="28" t="n">
        <v>61512</v>
      </c>
      <c r="C46" s="31">
        <f>B46-B45</f>
        <v/>
      </c>
    </row>
    <row r="47" ht="18" customHeight="1" s="21">
      <c r="A47" s="27" t="n">
        <v>46</v>
      </c>
      <c r="B47" s="29" t="n">
        <v>67983</v>
      </c>
      <c r="C47" s="30">
        <f>B47-B46</f>
        <v/>
      </c>
    </row>
    <row r="48" ht="18" customHeight="1" s="21">
      <c r="A48" s="26" t="n">
        <v>47</v>
      </c>
      <c r="B48" s="28" t="n">
        <v>75127</v>
      </c>
      <c r="C48" s="31">
        <f>B48-B47</f>
        <v/>
      </c>
    </row>
    <row r="49" ht="18" customHeight="1" s="21">
      <c r="A49" s="27" t="n">
        <v>48</v>
      </c>
      <c r="B49" s="29" t="n">
        <v>83014</v>
      </c>
      <c r="C49" s="30">
        <f>B49-B48</f>
        <v/>
      </c>
    </row>
    <row r="50" ht="18" customHeight="1" s="21">
      <c r="A50" s="26" t="n">
        <v>49</v>
      </c>
      <c r="B50" s="28" t="n">
        <v>91721</v>
      </c>
      <c r="C50" s="31">
        <f>B50-B49</f>
        <v/>
      </c>
    </row>
    <row r="51" ht="18" customHeight="1" s="21">
      <c r="A51" s="27" t="n">
        <v>50</v>
      </c>
      <c r="B51" s="29" t="n">
        <v>101333</v>
      </c>
      <c r="C51" s="30">
        <f>B51-B50</f>
        <v/>
      </c>
    </row>
    <row r="52" ht="18" customHeight="1" s="21">
      <c r="A52" s="26" t="n">
        <v>51</v>
      </c>
      <c r="B52" s="28" t="n">
        <v>111945</v>
      </c>
      <c r="C52" s="31">
        <f>B52-B51</f>
        <v/>
      </c>
    </row>
    <row r="53" ht="18" customHeight="1" s="21">
      <c r="A53" s="27" t="n">
        <v>52</v>
      </c>
      <c r="B53" s="29" t="n">
        <v>123660</v>
      </c>
      <c r="C53" s="30">
        <f>B53-B52</f>
        <v/>
      </c>
    </row>
    <row r="54" ht="18" customHeight="1" s="21">
      <c r="A54" s="26" t="n">
        <v>53</v>
      </c>
      <c r="B54" s="28" t="n">
        <v>136594</v>
      </c>
      <c r="C54" s="31">
        <f>B54-B53</f>
        <v/>
      </c>
    </row>
    <row r="55" ht="18" customHeight="1" s="21">
      <c r="A55" s="27" t="n">
        <v>54</v>
      </c>
      <c r="B55" s="29" t="n">
        <v>150872</v>
      </c>
      <c r="C55" s="30">
        <f>B55-B54</f>
        <v/>
      </c>
    </row>
    <row r="56" ht="18" customHeight="1" s="21">
      <c r="A56" s="26" t="n">
        <v>55</v>
      </c>
      <c r="B56" s="28" t="n">
        <v>166636</v>
      </c>
      <c r="C56" s="31">
        <f>B56-B55</f>
        <v/>
      </c>
    </row>
    <row r="57" ht="18" customHeight="1" s="21">
      <c r="A57" s="27" t="n">
        <v>56</v>
      </c>
      <c r="B57" s="29" t="n">
        <v>184040</v>
      </c>
      <c r="C57" s="30">
        <f>B57-B56</f>
        <v/>
      </c>
    </row>
    <row r="58" ht="18" customHeight="1" s="21">
      <c r="A58" s="26" t="n">
        <v>57</v>
      </c>
      <c r="B58" s="28" t="n">
        <v>203254</v>
      </c>
      <c r="C58" s="31">
        <f>B58-B57</f>
        <v/>
      </c>
    </row>
    <row r="59" ht="18" customHeight="1" s="21">
      <c r="A59" s="27" t="n">
        <v>58</v>
      </c>
      <c r="B59" s="29" t="n">
        <v>224466</v>
      </c>
      <c r="C59" s="30">
        <f>B59-B58</f>
        <v/>
      </c>
    </row>
    <row r="60" ht="18" customHeight="1" s="21">
      <c r="A60" s="26" t="n">
        <v>59</v>
      </c>
      <c r="B60" s="28" t="n">
        <v>247886</v>
      </c>
      <c r="C60" s="31">
        <f>B60-B59</f>
        <v/>
      </c>
    </row>
    <row r="61" ht="18" customHeight="1" s="21">
      <c r="A61" s="27" t="n">
        <v>60</v>
      </c>
      <c r="B61" s="29" t="n">
        <v>273742</v>
      </c>
      <c r="C61" s="30">
        <f>B61-B60</f>
        <v/>
      </c>
    </row>
    <row r="62" ht="18" customHeight="1" s="21">
      <c r="A62" s="26" t="n">
        <v>61</v>
      </c>
      <c r="B62" s="28" t="n">
        <v>302288</v>
      </c>
      <c r="C62" s="31">
        <f>B62-B61</f>
        <v/>
      </c>
    </row>
    <row r="63" ht="18" customHeight="1" s="21">
      <c r="A63" s="27" t="n">
        <v>62</v>
      </c>
      <c r="B63" s="29" t="n">
        <v>333804</v>
      </c>
      <c r="C63" s="30">
        <f>B63-B62</f>
        <v/>
      </c>
    </row>
    <row r="64" ht="18" customHeight="1" s="21">
      <c r="A64" s="26" t="n">
        <v>63</v>
      </c>
      <c r="B64" s="28" t="n">
        <v>368599</v>
      </c>
      <c r="C64" s="31">
        <f>B64-B63</f>
        <v/>
      </c>
    </row>
    <row r="65" ht="18" customHeight="1" s="21">
      <c r="A65" s="27" t="n">
        <v>64</v>
      </c>
      <c r="B65" s="29" t="n">
        <v>407015</v>
      </c>
      <c r="C65" s="30">
        <f>B65-B64</f>
        <v/>
      </c>
    </row>
    <row r="66" ht="18" customHeight="1" s="21">
      <c r="A66" s="26" t="n">
        <v>65</v>
      </c>
      <c r="B66" s="28" t="n">
        <v>449428</v>
      </c>
      <c r="C66" s="31">
        <f>B66-B65</f>
        <v/>
      </c>
    </row>
    <row r="67" ht="18" customHeight="1" s="21">
      <c r="A67" s="27" t="n">
        <v>66</v>
      </c>
      <c r="B67" s="29" t="n">
        <v>496254</v>
      </c>
      <c r="C67" s="30">
        <f>B67-B66</f>
        <v/>
      </c>
    </row>
    <row r="68" ht="18" customHeight="1" s="21">
      <c r="A68" s="26" t="n">
        <v>67</v>
      </c>
      <c r="B68" s="28" t="n">
        <v>547953</v>
      </c>
      <c r="C68" s="31">
        <f>B68-B67</f>
        <v/>
      </c>
    </row>
    <row r="69" ht="18" customHeight="1" s="21">
      <c r="A69" s="27" t="n">
        <v>68</v>
      </c>
      <c r="B69" s="29" t="n">
        <v>605032</v>
      </c>
      <c r="C69" s="30">
        <f>B69-B68</f>
        <v/>
      </c>
    </row>
    <row r="70" ht="18" customHeight="1" s="21">
      <c r="A70" s="26" t="n">
        <v>69</v>
      </c>
      <c r="B70" s="28" t="n">
        <v>668051</v>
      </c>
      <c r="C70" s="31">
        <f>B70-B69</f>
        <v/>
      </c>
    </row>
    <row r="71" ht="18" customHeight="1" s="21">
      <c r="A71" s="27" t="n">
        <v>70</v>
      </c>
      <c r="B71" s="29" t="n">
        <v>737627</v>
      </c>
      <c r="C71" s="30">
        <f>B71-B70</f>
        <v/>
      </c>
    </row>
    <row r="72" ht="18" customHeight="1" s="21">
      <c r="A72" s="26" t="n">
        <v>71</v>
      </c>
      <c r="B72" s="28" t="n">
        <v>814445</v>
      </c>
      <c r="C72" s="31">
        <f>B72-B71</f>
        <v/>
      </c>
    </row>
    <row r="73" ht="18" customHeight="1" s="21">
      <c r="A73" s="27" t="n">
        <v>72</v>
      </c>
      <c r="B73" s="29" t="n">
        <v>899257</v>
      </c>
      <c r="C73" s="30">
        <f>B73-B72</f>
        <v/>
      </c>
    </row>
    <row r="74" ht="18" customHeight="1" s="21">
      <c r="A74" s="26" t="n">
        <v>73</v>
      </c>
      <c r="B74" s="28" t="n">
        <v>992895</v>
      </c>
      <c r="C74" s="31">
        <f>B74-B73</f>
        <v/>
      </c>
    </row>
    <row r="75" ht="18" customHeight="1" s="21">
      <c r="A75" s="27" t="n">
        <v>74</v>
      </c>
      <c r="B75" s="29" t="n">
        <v>1096278</v>
      </c>
      <c r="C75" s="30">
        <f>B75-B74</f>
        <v/>
      </c>
    </row>
    <row r="76" ht="18" customHeight="1" s="21">
      <c r="A76" s="26" t="n">
        <v>75</v>
      </c>
      <c r="B76" s="28" t="n">
        <v>1210421</v>
      </c>
      <c r="C76" s="31">
        <f>B76-B75</f>
        <v/>
      </c>
    </row>
    <row r="77" ht="18" customHeight="1" s="21">
      <c r="A77" s="27" t="n">
        <v>76</v>
      </c>
      <c r="B77" s="29" t="n">
        <v>1336443</v>
      </c>
      <c r="C77" s="30">
        <f>B77-B76</f>
        <v/>
      </c>
    </row>
    <row r="78" ht="18" customHeight="1" s="21">
      <c r="A78" s="26" t="n">
        <v>77</v>
      </c>
      <c r="B78" s="28" t="n">
        <v>1475581</v>
      </c>
      <c r="C78" s="31">
        <f>B78-B77</f>
        <v/>
      </c>
    </row>
    <row r="79" ht="18" customHeight="1" s="21">
      <c r="A79" s="27" t="n">
        <v>78</v>
      </c>
      <c r="B79" s="29" t="n">
        <v>1629200</v>
      </c>
      <c r="C79" s="30">
        <f>B79-B78</f>
        <v/>
      </c>
    </row>
    <row r="80" ht="18" customHeight="1" s="21">
      <c r="A80" s="26" t="n">
        <v>79</v>
      </c>
      <c r="B80" s="28" t="n">
        <v>1798808</v>
      </c>
      <c r="C80" s="31">
        <f>B80-B79</f>
        <v/>
      </c>
    </row>
    <row r="81" ht="18" customHeight="1" s="21">
      <c r="A81" s="27" t="n">
        <v>80</v>
      </c>
      <c r="B81" s="29" t="n">
        <v>1986068</v>
      </c>
      <c r="C81" s="30">
        <f>B81-B80</f>
        <v/>
      </c>
    </row>
    <row r="82" ht="18" customHeight="1" s="21">
      <c r="A82" s="26" t="n">
        <v>81</v>
      </c>
      <c r="B82" s="28" t="n">
        <v>2192818</v>
      </c>
      <c r="C82" s="31">
        <f>B82-B81</f>
        <v/>
      </c>
    </row>
    <row r="83" ht="18" customHeight="1" s="21">
      <c r="A83" s="27" t="n">
        <v>82</v>
      </c>
      <c r="B83" s="29" t="n">
        <v>2421087</v>
      </c>
      <c r="C83" s="30">
        <f>B83-B82</f>
        <v/>
      </c>
    </row>
    <row r="84" ht="18" customHeight="1" s="21">
      <c r="A84" s="26" t="n">
        <v>83</v>
      </c>
      <c r="B84" s="28" t="n">
        <v>2673114</v>
      </c>
      <c r="C84" s="31">
        <f>B84-B83</f>
        <v/>
      </c>
    </row>
    <row r="85" ht="18" customHeight="1" s="21">
      <c r="A85" s="27" t="n">
        <v>84</v>
      </c>
      <c r="B85" s="29" t="n">
        <v>2951373</v>
      </c>
      <c r="C85" s="30">
        <f>B85-B84</f>
        <v/>
      </c>
    </row>
    <row r="86" ht="18" customHeight="1" s="21">
      <c r="A86" s="26" t="n">
        <v>85</v>
      </c>
      <c r="B86" s="28" t="n">
        <v>3258594</v>
      </c>
      <c r="C86" s="31">
        <f>B86-B85</f>
        <v/>
      </c>
    </row>
    <row r="87" ht="18" customHeight="1" s="21">
      <c r="A87" s="27" t="n">
        <v>86</v>
      </c>
      <c r="B87" s="29" t="n">
        <v>3597792</v>
      </c>
      <c r="C87" s="30">
        <f>B87-B86</f>
        <v/>
      </c>
    </row>
    <row r="88" ht="18" customHeight="1" s="21">
      <c r="A88" s="26" t="n">
        <v>87</v>
      </c>
      <c r="B88" s="28" t="n">
        <v>3972294</v>
      </c>
      <c r="C88" s="31">
        <f>B88-B87</f>
        <v/>
      </c>
    </row>
    <row r="89" ht="18" customHeight="1" s="21">
      <c r="A89" s="27" t="n">
        <v>88</v>
      </c>
      <c r="B89" s="29" t="n">
        <v>4385776</v>
      </c>
      <c r="C89" s="30">
        <f>B89-B88</f>
        <v/>
      </c>
    </row>
    <row r="90" ht="18" customHeight="1" s="21">
      <c r="A90" s="26" t="n">
        <v>89</v>
      </c>
      <c r="B90" s="28" t="n">
        <v>4842295</v>
      </c>
      <c r="C90" s="31">
        <f>B90-B89</f>
        <v/>
      </c>
    </row>
    <row r="91" ht="18" customHeight="1" s="21">
      <c r="A91" s="27" t="n">
        <v>90</v>
      </c>
      <c r="B91" s="29" t="n">
        <v>5346332</v>
      </c>
      <c r="C91" s="30">
        <f>B91-B90</f>
        <v/>
      </c>
    </row>
    <row r="92" ht="18" customHeight="1" s="21">
      <c r="A92" s="26" t="n">
        <v>91</v>
      </c>
      <c r="B92" s="28" t="n">
        <v>5902831</v>
      </c>
      <c r="C92" s="31">
        <f>B92-B91</f>
        <v/>
      </c>
    </row>
    <row r="93" ht="18" customHeight="1" s="21">
      <c r="A93" s="27" t="n">
        <v>92</v>
      </c>
      <c r="B93" s="29" t="n">
        <v>6517253</v>
      </c>
      <c r="C93" s="30">
        <f>B93-B92</f>
        <v/>
      </c>
    </row>
    <row r="94" ht="18" customHeight="1" s="21">
      <c r="A94" s="26" t="n">
        <v>93</v>
      </c>
      <c r="B94" s="28" t="n">
        <v>7195629</v>
      </c>
      <c r="C94" s="31">
        <f>B94-B93</f>
        <v/>
      </c>
    </row>
    <row r="95" ht="18" customHeight="1" s="21">
      <c r="A95" s="27" t="n">
        <v>94</v>
      </c>
      <c r="B95" s="29" t="n">
        <v>7944614</v>
      </c>
      <c r="C95" s="30">
        <f>B95-B94</f>
        <v/>
      </c>
    </row>
    <row r="96" ht="18" customHeight="1" s="21">
      <c r="A96" s="26" t="n">
        <v>95</v>
      </c>
      <c r="B96" s="28" t="n">
        <v>8771558</v>
      </c>
      <c r="C96" s="31">
        <f>B96-B95</f>
        <v/>
      </c>
    </row>
    <row r="97" ht="18" customHeight="1" s="21">
      <c r="A97" s="27" t="n">
        <v>96</v>
      </c>
      <c r="B97" s="29" t="n">
        <v>9684577</v>
      </c>
      <c r="C97" s="30">
        <f>B97-B96</f>
        <v/>
      </c>
    </row>
    <row r="98" ht="18" customHeight="1" s="21">
      <c r="A98" s="26" t="n">
        <v>97</v>
      </c>
      <c r="B98" s="28" t="n">
        <v>10692629</v>
      </c>
      <c r="C98" s="31">
        <f>B98-B97</f>
        <v/>
      </c>
    </row>
    <row r="99" ht="18" customHeight="1" s="21">
      <c r="A99" s="27" t="n">
        <v>98</v>
      </c>
      <c r="B99" s="29" t="n">
        <v>13034431</v>
      </c>
      <c r="C99" s="30">
        <f>B99-B98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8" customWidth="1" style="20" min="1" max="1"/>
    <col width="10" customWidth="1" style="20" min="2" max="4"/>
    <col width="40" customWidth="1" style="20" min="5" max="5"/>
    <col width="16" customWidth="1" style="20" min="6" max="6"/>
    <col width="12" customWidth="1" style="20" min="7" max="8"/>
  </cols>
  <sheetData>
    <row r="1" ht="21.75" customHeight="1" s="21">
      <c r="A1" s="25" t="inlineStr">
        <is>
          <t>Output bar</t>
        </is>
      </c>
      <c r="B1" s="25" t="inlineStr">
        <is>
          <t>Smith Lv</t>
        </is>
      </c>
      <c r="C1" s="25" t="inlineStr">
        <is>
          <t>Inputs</t>
        </is>
      </c>
      <c r="D1" s="25" t="inlineStr">
        <is>
          <t>Coal req</t>
        </is>
      </c>
      <c r="E1" s="25" t="inlineStr">
        <is>
          <t>XP / bar</t>
        </is>
      </c>
      <c r="F1" s="25" t="inlineStr">
        <is>
          <t>Action ms (base)</t>
        </is>
      </c>
      <c r="G1" s="25" t="inlineStr">
        <is>
          <t>Bars / hr</t>
        </is>
      </c>
      <c r="H1" s="25" t="inlineStr">
        <is>
          <t>XP / hr</t>
        </is>
      </c>
    </row>
    <row r="2" ht="18" customHeight="1" s="21">
      <c r="A2" s="26" t="inlineStr">
        <is>
          <t>Bronze Bar</t>
        </is>
      </c>
      <c r="B2" s="26" t="n">
        <v>1</v>
      </c>
      <c r="C2" s="26" t="inlineStr">
        <is>
          <t>1 Copper + 1 Tin</t>
        </is>
      </c>
      <c r="D2" s="28" t="n">
        <v>0</v>
      </c>
      <c r="E2" s="28" t="n">
        <v>6.2</v>
      </c>
      <c r="F2" s="28" t="n">
        <v>3000</v>
      </c>
      <c r="G2" s="31">
        <f>ROUND(3600000/F2,0)</f>
        <v/>
      </c>
      <c r="H2" s="31">
        <f>ROUND(G2*E2,0)</f>
        <v/>
      </c>
    </row>
    <row r="3" ht="18" customHeight="1" s="21">
      <c r="A3" s="27" t="inlineStr">
        <is>
          <t>Iron Bar</t>
        </is>
      </c>
      <c r="B3" s="27" t="n">
        <v>15</v>
      </c>
      <c r="C3" s="27" t="inlineStr">
        <is>
          <t>1 Iron + 1 Coal</t>
        </is>
      </c>
      <c r="D3" s="29" t="n">
        <v>1</v>
      </c>
      <c r="E3" s="29" t="n">
        <v>12.5</v>
      </c>
      <c r="F3" s="29" t="n">
        <v>4000</v>
      </c>
      <c r="G3" s="30">
        <f>ROUND(3600000/F3,0)</f>
        <v/>
      </c>
      <c r="H3" s="30">
        <f>ROUND(G3*E3,0)</f>
        <v/>
      </c>
    </row>
    <row r="4" ht="18" customHeight="1" s="21">
      <c r="A4" s="26" t="inlineStr">
        <is>
          <t>Steel Bar</t>
        </is>
      </c>
      <c r="B4" s="26" t="n">
        <v>30</v>
      </c>
      <c r="C4" s="26" t="inlineStr">
        <is>
          <t>1 Iron + 2 Coal</t>
        </is>
      </c>
      <c r="D4" s="28" t="n">
        <v>2</v>
      </c>
      <c r="E4" s="28" t="n">
        <v>17.5</v>
      </c>
      <c r="F4" s="28" t="n">
        <v>5500</v>
      </c>
      <c r="G4" s="31">
        <f>ROUND(3600000/F4,0)</f>
        <v/>
      </c>
      <c r="H4" s="31">
        <f>ROUND(G4*E4,0)</f>
        <v/>
      </c>
    </row>
    <row r="5" ht="18" customHeight="1" s="21">
      <c r="A5" s="27" t="inlineStr">
        <is>
          <t>Mithril Bar</t>
        </is>
      </c>
      <c r="B5" s="27" t="n">
        <v>50</v>
      </c>
      <c r="C5" s="27" t="inlineStr">
        <is>
          <t>1 Mithril + 4 Coal</t>
        </is>
      </c>
      <c r="D5" s="29" t="n">
        <v>4</v>
      </c>
      <c r="E5" s="29" t="n">
        <v>30</v>
      </c>
      <c r="F5" s="29" t="n">
        <v>7000</v>
      </c>
      <c r="G5" s="30">
        <f>ROUND(3600000/F5,0)</f>
        <v/>
      </c>
      <c r="H5" s="30">
        <f>ROUND(G5*E5,0)</f>
        <v/>
      </c>
    </row>
    <row r="6" ht="18" customHeight="1" s="21">
      <c r="A6" s="26" t="inlineStr">
        <is>
          <t>Adamant Bar</t>
        </is>
      </c>
      <c r="B6" s="26" t="n">
        <v>70</v>
      </c>
      <c r="C6" s="26" t="inlineStr">
        <is>
          <t>1 Adamant + 6 Coal</t>
        </is>
      </c>
      <c r="D6" s="28" t="n">
        <v>6</v>
      </c>
      <c r="E6" s="28" t="n">
        <v>37.5</v>
      </c>
      <c r="F6" s="28" t="n">
        <v>9000</v>
      </c>
      <c r="G6" s="31">
        <f>ROUND(3600000/F6,0)</f>
        <v/>
      </c>
      <c r="H6" s="31">
        <f>ROUND(G6*E6,0)</f>
        <v/>
      </c>
    </row>
    <row r="7" ht="18" customHeight="1" s="21">
      <c r="A7" s="27" t="inlineStr">
        <is>
          <t>Rune Bar</t>
        </is>
      </c>
      <c r="B7" s="27" t="n">
        <v>85</v>
      </c>
      <c r="C7" s="27" t="inlineStr">
        <is>
          <t>1 Runite + 8 Coal</t>
        </is>
      </c>
      <c r="D7" s="29" t="n">
        <v>8</v>
      </c>
      <c r="E7" s="29" t="n">
        <v>50</v>
      </c>
      <c r="F7" s="29" t="n">
        <v>12000</v>
      </c>
      <c r="G7" s="30">
        <f>ROUND(3600000/F7,0)</f>
        <v/>
      </c>
      <c r="H7" s="30">
        <f>ROUND(G7*E7,0)</f>
        <v/>
      </c>
    </row>
    <row r="8"/>
    <row r="9" ht="15" customHeight="1" s="21">
      <c r="A9" s="32" t="inlineStr">
        <is>
          <t>Tools made from bars</t>
        </is>
      </c>
    </row>
    <row r="10" ht="21.75" customHeight="1" s="21">
      <c r="A10" s="25" t="inlineStr">
        <is>
          <t>Item</t>
        </is>
      </c>
      <c r="B10" s="25" t="inlineStr">
        <is>
          <t>Smith Lv</t>
        </is>
      </c>
      <c r="C10" s="25" t="inlineStr">
        <is>
          <t>Bars req</t>
        </is>
      </c>
      <c r="D10" s="25" t="inlineStr">
        <is>
          <t>Plank req</t>
        </is>
      </c>
      <c r="E10" s="25" t="inlineStr">
        <is>
          <t>Bonus / use</t>
        </is>
      </c>
    </row>
    <row r="11" ht="18" customHeight="1" s="21">
      <c r="A11" s="26" t="inlineStr">
        <is>
          <t>Iron Pickaxe</t>
        </is>
      </c>
      <c r="B11" s="26" t="n">
        <v>15</v>
      </c>
      <c r="C11" s="28" t="n">
        <v>2</v>
      </c>
      <c r="D11" s="28" t="n">
        <v>1</v>
      </c>
      <c r="E11" s="26" t="inlineStr">
        <is>
          <t>+25% mining speed</t>
        </is>
      </c>
    </row>
    <row r="12" ht="18" customHeight="1" s="21">
      <c r="A12" s="27" t="inlineStr">
        <is>
          <t>Iron Pan</t>
        </is>
      </c>
      <c r="B12" s="27" t="n">
        <v>15</v>
      </c>
      <c r="C12" s="29" t="n">
        <v>2</v>
      </c>
      <c r="D12" s="29" t="n">
        <v>1</v>
      </c>
      <c r="E12" s="27" t="inlineStr">
        <is>
          <t>5% double-cook</t>
        </is>
      </c>
    </row>
    <row r="13" ht="18" customHeight="1" s="21">
      <c r="A13" s="26" t="inlineStr">
        <is>
          <t>Iron Sword</t>
        </is>
      </c>
      <c r="B13" s="26" t="n">
        <v>15</v>
      </c>
      <c r="C13" s="28" t="n">
        <v>2</v>
      </c>
      <c r="D13" s="28" t="n">
        <v>1</v>
      </c>
      <c r="E13" s="26" t="inlineStr">
        <is>
          <t>+7 ATK / +6 STR</t>
        </is>
      </c>
    </row>
    <row r="14" ht="18" customHeight="1" s="21">
      <c r="A14" s="27" t="inlineStr">
        <is>
          <t>Steel Pickaxe</t>
        </is>
      </c>
      <c r="B14" s="27" t="n">
        <v>30</v>
      </c>
      <c r="C14" s="29" t="n">
        <v>2</v>
      </c>
      <c r="D14" s="29" t="n">
        <v>1</v>
      </c>
      <c r="E14" s="27" t="inlineStr">
        <is>
          <t>+50% speed, can mine Coal</t>
        </is>
      </c>
    </row>
    <row r="15" ht="18" customHeight="1" s="21">
      <c r="A15" s="26" t="inlineStr">
        <is>
          <t>Steel Skillet</t>
        </is>
      </c>
      <c r="B15" s="26" t="n">
        <v>30</v>
      </c>
      <c r="C15" s="28" t="n">
        <v>2</v>
      </c>
      <c r="D15" s="28" t="n">
        <v>1</v>
      </c>
      <c r="E15" s="26" t="inlineStr">
        <is>
          <t>10% double / 5% no-burn</t>
        </is>
      </c>
    </row>
    <row r="16" ht="18" customHeight="1" s="21">
      <c r="A16" s="27" t="inlineStr">
        <is>
          <t>Mithril Pickaxe</t>
        </is>
      </c>
      <c r="B16" s="27" t="n">
        <v>50</v>
      </c>
      <c r="C16" s="29" t="n">
        <v>2</v>
      </c>
      <c r="D16" s="29" t="n">
        <v>1</v>
      </c>
      <c r="E16" s="27" t="inlineStr">
        <is>
          <t>+75% speed, can mine Mithril</t>
        </is>
      </c>
    </row>
    <row r="17" ht="18" customHeight="1" s="21">
      <c r="A17" s="26" t="inlineStr">
        <is>
          <t>Mithril Wok</t>
        </is>
      </c>
      <c r="B17" s="26" t="n">
        <v>50</v>
      </c>
      <c r="C17" s="28" t="n">
        <v>2</v>
      </c>
      <c r="D17" s="28" t="n">
        <v>1</v>
      </c>
      <c r="E17" s="26" t="inlineStr">
        <is>
          <t>15% double / 10% no-burn</t>
        </is>
      </c>
    </row>
    <row r="18" ht="18" customHeight="1" s="21">
      <c r="A18" s="27" t="inlineStr">
        <is>
          <t>Rune Pickaxe</t>
        </is>
      </c>
      <c r="B18" s="27" t="n">
        <v>85</v>
      </c>
      <c r="C18" s="29" t="n">
        <v>2</v>
      </c>
      <c r="D18" s="29" t="n">
        <v>1</v>
      </c>
      <c r="E18" s="27" t="inlineStr">
        <is>
          <t>+125% speed / 5% double ore</t>
        </is>
      </c>
    </row>
    <row r="19" ht="18" customHeight="1" s="21">
      <c r="A19" s="26" t="inlineStr">
        <is>
          <t>Rune Cauldron</t>
        </is>
      </c>
      <c r="B19" s="26" t="n">
        <v>85</v>
      </c>
      <c r="C19" s="28" t="n">
        <v>3</v>
      </c>
      <c r="D19" s="28" t="n">
        <v>1</v>
      </c>
      <c r="E19" s="26" t="inlineStr">
        <is>
          <t>25% double / 20% no-burn</t>
        </is>
      </c>
    </row>
    <row r="20" ht="18" customHeight="1" s="21">
      <c r="A20" s="27" t="inlineStr">
        <is>
          <t>Dragon Cauldron</t>
        </is>
      </c>
      <c r="B20" s="27" t="n">
        <v>95</v>
      </c>
      <c r="C20" s="29" t="n">
        <v>3</v>
      </c>
      <c r="D20" s="29" t="n">
        <v>1</v>
      </c>
      <c r="E20" s="27" t="inlineStr">
        <is>
          <t>30% double, 0% burn, can cook Phoenix Stew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8" customWidth="1" style="20" min="1" max="1"/>
    <col width="10" customWidth="1" style="20" min="2" max="2"/>
    <col width="14" customWidth="1" style="20" min="3" max="4"/>
    <col width="30" customWidth="1" style="20" min="5" max="5"/>
    <col width="12" customWidth="1" style="20" min="6" max="6"/>
  </cols>
  <sheetData>
    <row r="1" ht="21.75" customHeight="1" s="21">
      <c r="A1" s="25" t="inlineStr">
        <is>
          <t>Output</t>
        </is>
      </c>
      <c r="B1" s="25" t="inlineStr">
        <is>
          <t>Craft Lv</t>
        </is>
      </c>
      <c r="C1" s="25" t="inlineStr">
        <is>
          <t>Inputs</t>
        </is>
      </c>
      <c r="D1" s="25" t="inlineStr">
        <is>
          <t>XP</t>
        </is>
      </c>
      <c r="E1" s="25" t="inlineStr">
        <is>
          <t>Use</t>
        </is>
      </c>
    </row>
    <row r="2" ht="18" customHeight="1" s="21">
      <c r="A2" s="26" t="inlineStr">
        <is>
          <t>Linen Thread</t>
        </is>
      </c>
      <c r="B2" s="26" t="n">
        <v>1</v>
      </c>
      <c r="C2" s="26" t="inlineStr">
        <is>
          <t>1 Wheat</t>
        </is>
      </c>
      <c r="D2" s="28" t="n">
        <v>4</v>
      </c>
      <c r="E2" s="26" t="inlineStr">
        <is>
          <t>Component for Leather Strap</t>
        </is>
      </c>
    </row>
    <row r="3" ht="18" customHeight="1" s="21">
      <c r="A3" s="27" t="inlineStr">
        <is>
          <t>Wool</t>
        </is>
      </c>
      <c r="B3" s="27" t="n">
        <v>15</v>
      </c>
      <c r="C3" s="27" t="inlineStr">
        <is>
          <t>1 Sheared Wool (chicken pen)</t>
        </is>
      </c>
      <c r="D3" s="29" t="n">
        <v>8</v>
      </c>
      <c r="E3" s="27" t="inlineStr">
        <is>
          <t>Component for Padded Hide</t>
        </is>
      </c>
    </row>
    <row r="4" ht="18" customHeight="1" s="21">
      <c r="A4" s="26" t="inlineStr">
        <is>
          <t>Leather Strap</t>
        </is>
      </c>
      <c r="B4" s="26" t="n">
        <v>5</v>
      </c>
      <c r="C4" s="26" t="inlineStr">
        <is>
          <t>1 Wolf Pelt + 1 Linen Thread</t>
        </is>
      </c>
      <c r="D4" s="28" t="n">
        <v>15</v>
      </c>
      <c r="E4" s="26" t="inlineStr">
        <is>
          <t>Required for early crafted gear</t>
        </is>
      </c>
    </row>
    <row r="5" ht="18" customHeight="1" s="21">
      <c r="A5" s="27" t="inlineStr">
        <is>
          <t>Padded Hide</t>
        </is>
      </c>
      <c r="B5" s="27" t="n">
        <v>25</v>
      </c>
      <c r="C5" s="27" t="inlineStr">
        <is>
          <t>1 Troll Hide + 2 Wool</t>
        </is>
      </c>
      <c r="D5" s="29" t="n">
        <v>32</v>
      </c>
      <c r="E5" s="27" t="inlineStr">
        <is>
          <t>T3 armor base</t>
        </is>
      </c>
    </row>
    <row r="6" ht="18" customHeight="1" s="21">
      <c r="A6" s="26" t="inlineStr">
        <is>
          <t>Snakeskin Plate</t>
        </is>
      </c>
      <c r="B6" s="26" t="n">
        <v>45</v>
      </c>
      <c r="C6" s="26" t="inlineStr">
        <is>
          <t>2 Snakeskin + 1 Mithril Bar</t>
        </is>
      </c>
      <c r="D6" s="28" t="n">
        <v>75</v>
      </c>
      <c r="E6" s="26" t="inlineStr">
        <is>
          <t>T4 light armor</t>
        </is>
      </c>
    </row>
    <row r="7" ht="18" customHeight="1" s="21">
      <c r="A7" s="27" t="inlineStr">
        <is>
          <t>Dragonscale Plate</t>
        </is>
      </c>
      <c r="B7" s="27" t="n">
        <v>60</v>
      </c>
      <c r="C7" s="27" t="inlineStr">
        <is>
          <t>1 Dragon Scale + 1 Magic Essence</t>
        </is>
      </c>
      <c r="D7" s="29" t="n">
        <v>110</v>
      </c>
      <c r="E7" s="27" t="inlineStr">
        <is>
          <t>T5 medium armor</t>
        </is>
      </c>
    </row>
    <row r="8" ht="18" customHeight="1" s="21">
      <c r="A8" s="26" t="inlineStr">
        <is>
          <t>Demonweave</t>
        </is>
      </c>
      <c r="B8" s="26" t="n">
        <v>75</v>
      </c>
      <c r="C8" s="26" t="inlineStr">
        <is>
          <t>1 Demon Shard + 2 Adamant Bar</t>
        </is>
      </c>
      <c r="D8" s="28" t="n">
        <v>180</v>
      </c>
      <c r="E8" s="26" t="inlineStr">
        <is>
          <t>T5 heavy</t>
        </is>
      </c>
    </row>
    <row r="9" ht="18" customHeight="1" s="21">
      <c r="A9" s="27" t="inlineStr">
        <is>
          <t>Phoenix Cape</t>
        </is>
      </c>
      <c r="B9" s="27" t="n">
        <v>95</v>
      </c>
      <c r="C9" s="27" t="inlineStr">
        <is>
          <t>5 Phoenix Feather + 1 Lich Soul</t>
        </is>
      </c>
      <c r="D9" s="29" t="n">
        <v>450</v>
      </c>
      <c r="E9" s="27" t="inlineStr">
        <is>
          <t>Endgame cape</t>
        </is>
      </c>
    </row>
    <row r="10" ht="15" customHeight="1" s="21">
      <c r="A10" s="32" t="inlineStr">
        <is>
          <t>Jewelry sub-chain</t>
        </is>
      </c>
    </row>
    <row r="11" ht="21.75" customHeight="1" s="21">
      <c r="A11" s="25" t="inlineStr">
        <is>
          <t>Item</t>
        </is>
      </c>
      <c r="B11" s="25" t="inlineStr">
        <is>
          <t>Craft Lv</t>
        </is>
      </c>
      <c r="C11" s="25" t="inlineStr">
        <is>
          <t>Bezel</t>
        </is>
      </c>
      <c r="D11" s="25" t="inlineStr">
        <is>
          <t>Gem</t>
        </is>
      </c>
      <c r="E11" s="25" t="inlineStr">
        <is>
          <t>Bonus</t>
        </is>
      </c>
      <c r="F11" s="25" t="inlineStr">
        <is>
          <t>Slot</t>
        </is>
      </c>
    </row>
    <row r="12" ht="18" customHeight="1" s="21">
      <c r="A12" s="26" t="inlineStr">
        <is>
          <t>Copper Ring of Strength</t>
        </is>
      </c>
      <c r="B12" s="26" t="n">
        <v>20</v>
      </c>
      <c r="C12" s="26" t="inlineStr">
        <is>
          <t>Copper bar</t>
        </is>
      </c>
      <c r="D12" s="26" t="inlineStr">
        <is>
          <t>Ruby</t>
        </is>
      </c>
      <c r="E12" s="26" t="inlineStr">
        <is>
          <t>+2 STR</t>
        </is>
      </c>
      <c r="F12" s="26" t="inlineStr">
        <is>
          <t>Ring</t>
        </is>
      </c>
    </row>
    <row r="13" ht="18" customHeight="1" s="21">
      <c r="A13" s="27" t="inlineStr">
        <is>
          <t>Gold Ring of Wealth</t>
        </is>
      </c>
      <c r="B13" s="27" t="n">
        <v>40</v>
      </c>
      <c r="C13" s="27" t="inlineStr">
        <is>
          <t>Gold bar</t>
        </is>
      </c>
      <c r="D13" s="27" t="inlineStr">
        <is>
          <t>Emerald</t>
        </is>
      </c>
      <c r="E13" s="27" t="inlineStr">
        <is>
          <t>+5% gold from monsters</t>
        </is>
      </c>
      <c r="F13" s="27" t="inlineStr">
        <is>
          <t>Ring</t>
        </is>
      </c>
    </row>
    <row r="14" ht="18" customHeight="1" s="21">
      <c r="A14" s="26" t="inlineStr">
        <is>
          <t>Mithril Ring of Wisdom</t>
        </is>
      </c>
      <c r="B14" s="26" t="n">
        <v>60</v>
      </c>
      <c r="C14" s="26" t="inlineStr">
        <is>
          <t>Mithril bar</t>
        </is>
      </c>
      <c r="D14" s="26" t="inlineStr">
        <is>
          <t>Diamond</t>
        </is>
      </c>
      <c r="E14" s="26" t="inlineStr">
        <is>
          <t>+3% all skill XP</t>
        </is>
      </c>
      <c r="F14" s="26" t="inlineStr">
        <is>
          <t>Ring</t>
        </is>
      </c>
    </row>
    <row r="15" ht="18" customHeight="1" s="21">
      <c r="A15" s="27" t="inlineStr">
        <is>
          <t>Hunter Necklace</t>
        </is>
      </c>
      <c r="B15" s="27" t="n">
        <v>25</v>
      </c>
      <c r="C15" s="27" t="inlineStr">
        <is>
          <t>Iron bar</t>
        </is>
      </c>
      <c r="D15" s="27" t="inlineStr">
        <is>
          <t>Bone bead</t>
        </is>
      </c>
      <c r="E15" s="27" t="inlineStr">
        <is>
          <t>+2 ATK on monsters</t>
        </is>
      </c>
      <c r="F15" s="27" t="inlineStr">
        <is>
          <t>Necklace</t>
        </is>
      </c>
    </row>
    <row r="16" ht="18" customHeight="1" s="21">
      <c r="A16" s="26" t="inlineStr">
        <is>
          <t>Charm of Plenty</t>
        </is>
      </c>
      <c r="B16" s="26" t="n">
        <v>50</v>
      </c>
      <c r="C16" s="26" t="inlineStr">
        <is>
          <t>Steel bar</t>
        </is>
      </c>
      <c r="D16" s="26" t="inlineStr">
        <is>
          <t>Pearl</t>
        </is>
      </c>
      <c r="E16" s="26" t="inlineStr">
        <is>
          <t>+1 farming yield</t>
        </is>
      </c>
      <c r="F16" s="26" t="inlineStr">
        <is>
          <t>Necklace</t>
        </is>
      </c>
    </row>
    <row r="17" ht="18" customHeight="1" s="21">
      <c r="A17" s="27" t="inlineStr">
        <is>
          <t>Earrings of Focus</t>
        </is>
      </c>
      <c r="B17" s="27" t="n">
        <v>55</v>
      </c>
      <c r="C17" s="27" t="inlineStr">
        <is>
          <t>Steel bar</t>
        </is>
      </c>
      <c r="D17" s="27" t="inlineStr">
        <is>
          <t>Sapphire</t>
        </is>
      </c>
      <c r="E17" s="27" t="inlineStr">
        <is>
          <t>+5% gather speed</t>
        </is>
      </c>
      <c r="F17" s="27" t="inlineStr">
        <is>
          <t>Earrings</t>
        </is>
      </c>
    </row>
    <row r="18" ht="18" customHeight="1" s="21">
      <c r="A18" s="26" t="inlineStr">
        <is>
          <t>Ring of Mastery</t>
        </is>
      </c>
      <c r="B18" s="26" t="n">
        <v>92</v>
      </c>
      <c r="C18" s="26" t="inlineStr">
        <is>
          <t>Rune bar</t>
        </is>
      </c>
      <c r="D18" s="26" t="inlineStr">
        <is>
          <t>Dragon Gem</t>
        </is>
      </c>
      <c r="E18" s="26" t="inlineStr">
        <is>
          <t>+10% to chosen skill (swap daily)</t>
        </is>
      </c>
      <c r="F18" s="26" t="inlineStr">
        <is>
          <t>Ring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20" min="1" max="1"/>
    <col width="10" customWidth="1" style="20" min="2" max="2"/>
    <col width="38" customWidth="1" style="20" min="3" max="3"/>
    <col width="14" customWidth="1" style="20" min="4" max="4"/>
    <col width="8" customWidth="1" style="20" min="5" max="5"/>
    <col width="38" customWidth="1" style="20" min="6" max="6"/>
  </cols>
  <sheetData>
    <row r="1" ht="21.75" customHeight="1" s="21">
      <c r="A1" s="25" t="inlineStr">
        <is>
          <t>Recipe</t>
        </is>
      </c>
      <c r="B1" s="25" t="inlineStr">
        <is>
          <t>Cook Lv</t>
        </is>
      </c>
      <c r="C1" s="25" t="inlineStr">
        <is>
          <t>Inputs</t>
        </is>
      </c>
      <c r="D1" s="25" t="inlineStr">
        <is>
          <t>Output</t>
        </is>
      </c>
      <c r="E1" s="25" t="inlineStr">
        <is>
          <t>Heal</t>
        </is>
      </c>
      <c r="F1" s="25" t="inlineStr">
        <is>
          <t>Buff</t>
        </is>
      </c>
    </row>
    <row r="2" ht="18" customHeight="1" s="21">
      <c r="A2" s="26" t="inlineStr">
        <is>
          <t>Cooked Shrimp</t>
        </is>
      </c>
      <c r="B2" s="26" t="n">
        <v>1</v>
      </c>
      <c r="C2" s="26" t="inlineStr">
        <is>
          <t>1 Raw Shrimp</t>
        </is>
      </c>
      <c r="D2" s="26" t="inlineStr">
        <is>
          <t>Shrimp</t>
        </is>
      </c>
      <c r="E2" s="28" t="n">
        <v>3</v>
      </c>
      <c r="F2" s="26" t="n"/>
    </row>
    <row r="3" ht="18" customHeight="1" s="21">
      <c r="A3" s="27" t="inlineStr">
        <is>
          <t>Trout &amp; Bread</t>
        </is>
      </c>
      <c r="B3" s="27" t="n">
        <v>20</v>
      </c>
      <c r="C3" s="27" t="inlineStr">
        <is>
          <t>1 Raw Trout + 1 Wheat</t>
        </is>
      </c>
      <c r="D3" s="27" t="inlineStr">
        <is>
          <t>Sandwich</t>
        </is>
      </c>
      <c r="E3" s="29" t="n">
        <v>12</v>
      </c>
      <c r="F3" s="27" t="n"/>
    </row>
    <row r="4" ht="18" customHeight="1" s="21">
      <c r="A4" s="26" t="inlineStr">
        <is>
          <t>Lobster Plate</t>
        </is>
      </c>
      <c r="B4" s="26" t="n">
        <v>40</v>
      </c>
      <c r="C4" s="26" t="inlineStr">
        <is>
          <t>1 Raw Lobster + 1 Carrot + 1 Potato</t>
        </is>
      </c>
      <c r="D4" s="26" t="inlineStr">
        <is>
          <t>Lobster Plate</t>
        </is>
      </c>
      <c r="E4" s="28" t="n">
        <v>22</v>
      </c>
      <c r="F4" s="26" t="inlineStr">
        <is>
          <t>+5% gather speed for 8 min</t>
        </is>
      </c>
    </row>
    <row r="5" ht="18" customHeight="1" s="21">
      <c r="A5" s="27" t="inlineStr">
        <is>
          <t>Pumpkin Stew</t>
        </is>
      </c>
      <c r="B5" s="27" t="n">
        <v>50</v>
      </c>
      <c r="C5" s="27" t="inlineStr">
        <is>
          <t>2 Pumpkin + 1 Potato + 1 Tomato</t>
        </is>
      </c>
      <c r="D5" s="27" t="inlineStr">
        <is>
          <t>Stew</t>
        </is>
      </c>
      <c r="E5" s="29" t="n">
        <v>28</v>
      </c>
      <c r="F5" s="27" t="inlineStr">
        <is>
          <t>+10% farming XP for 10 min</t>
        </is>
      </c>
    </row>
    <row r="6" ht="18" customHeight="1" s="21">
      <c r="A6" s="26" t="inlineStr">
        <is>
          <t>Buffer Cake</t>
        </is>
      </c>
      <c r="B6" s="26" t="n">
        <v>70</v>
      </c>
      <c r="C6" s="26" t="inlineStr">
        <is>
          <t>5 Wheat + 5 Tomato + 5 Pumpkin + 1 Magic Essence</t>
        </is>
      </c>
      <c r="D6" s="26" t="inlineStr">
        <is>
          <t>Cake (24 slc)</t>
        </is>
      </c>
      <c r="E6" s="28" t="n">
        <v>0</v>
      </c>
      <c r="F6" s="26" t="inlineStr">
        <is>
          <t>Each slice: +10% combat XP 15 min</t>
        </is>
      </c>
    </row>
    <row r="7" ht="18" customHeight="1" s="21">
      <c r="A7" s="27" t="inlineStr">
        <is>
          <t>Phoenix Stew</t>
        </is>
      </c>
      <c r="B7" s="27" t="n">
        <v>95</v>
      </c>
      <c r="C7" s="27" t="inlineStr">
        <is>
          <t>1 Phoenix Feather + 1 Mooncap + 1 Crystal Fish</t>
        </is>
      </c>
      <c r="D7" s="27" t="inlineStr">
        <is>
          <t>Phoenix Stew</t>
        </is>
      </c>
      <c r="E7" s="29" t="n">
        <v>999</v>
      </c>
      <c r="F7" s="27" t="inlineStr">
        <is>
          <t>Heal full + +20% all skill XP 30 min, clan-shareable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20" min="1" max="1"/>
    <col width="14" customWidth="1" style="20" min="2" max="2"/>
    <col width="22" customWidth="1" style="20" min="3" max="3"/>
    <col width="50" customWidth="1" style="20" min="4" max="4"/>
    <col width="8" customWidth="1" style="20" min="5" max="5"/>
    <col width="10" customWidth="1" style="20" min="6" max="6"/>
    <col width="16" customWidth="1" style="20" min="7" max="7"/>
    <col width="14" customWidth="1" style="20" min="8" max="8"/>
  </cols>
  <sheetData>
    <row r="1" ht="15" customHeight="1" s="21">
      <c r="A1" s="32" t="inlineStr">
        <is>
          <t>Pickaxes — Mining</t>
        </is>
      </c>
    </row>
    <row r="2" ht="21.75" customHeight="1" s="21">
      <c r="A2" s="25" t="inlineStr">
        <is>
          <t>Tier</t>
        </is>
      </c>
      <c r="B2" s="25" t="inlineStr">
        <is>
          <t>Tool</t>
        </is>
      </c>
      <c r="C2" s="25" t="inlineStr">
        <is>
          <t>Smith Lv</t>
        </is>
      </c>
      <c r="D2" s="25" t="inlineStr">
        <is>
          <t>Wield Lv</t>
        </is>
      </c>
      <c r="E2" s="25" t="inlineStr">
        <is>
          <t>Bars</t>
        </is>
      </c>
      <c r="F2" s="25" t="inlineStr">
        <is>
          <t>Plank</t>
        </is>
      </c>
      <c r="G2" s="25" t="inlineStr">
        <is>
          <t>Speed bonus</t>
        </is>
      </c>
      <c r="H2" s="25" t="inlineStr">
        <is>
          <t>Special</t>
        </is>
      </c>
    </row>
    <row r="3" ht="18" customHeight="1" s="21">
      <c r="A3" s="26" t="inlineStr">
        <is>
          <t>T1</t>
        </is>
      </c>
      <c r="B3" s="26" t="inlineStr">
        <is>
          <t>Bronze Pickaxe</t>
        </is>
      </c>
      <c r="C3" s="26" t="n">
        <v>1</v>
      </c>
      <c r="D3" s="26" t="n">
        <v>1</v>
      </c>
      <c r="E3" s="28" t="n">
        <v>2</v>
      </c>
      <c r="F3" s="26" t="inlineStr">
        <is>
          <t>Normal</t>
        </is>
      </c>
      <c r="G3" s="33" t="n">
        <v>0</v>
      </c>
      <c r="H3" s="26" t="inlineStr">
        <is>
          <t>Required to mine</t>
        </is>
      </c>
    </row>
    <row r="4" ht="18" customHeight="1" s="21">
      <c r="A4" s="27" t="inlineStr">
        <is>
          <t>T2</t>
        </is>
      </c>
      <c r="B4" s="27" t="inlineStr">
        <is>
          <t>Iron Pickaxe</t>
        </is>
      </c>
      <c r="C4" s="27" t="n">
        <v>15</v>
      </c>
      <c r="D4" s="27" t="n">
        <v>15</v>
      </c>
      <c r="E4" s="29" t="n">
        <v>2</v>
      </c>
      <c r="F4" s="27" t="inlineStr">
        <is>
          <t>Oak</t>
        </is>
      </c>
      <c r="G4" s="34" t="n">
        <v>0.25</v>
      </c>
      <c r="H4" s="27" t="n"/>
    </row>
    <row r="5" ht="18" customHeight="1" s="21">
      <c r="A5" s="26" t="inlineStr">
        <is>
          <t>T3</t>
        </is>
      </c>
      <c r="B5" s="26" t="inlineStr">
        <is>
          <t>Steel Pickaxe</t>
        </is>
      </c>
      <c r="C5" s="26" t="n">
        <v>30</v>
      </c>
      <c r="D5" s="26" t="n">
        <v>30</v>
      </c>
      <c r="E5" s="28" t="n">
        <v>2</v>
      </c>
      <c r="F5" s="26" t="inlineStr">
        <is>
          <t>Willow</t>
        </is>
      </c>
      <c r="G5" s="33" t="n">
        <v>0.5</v>
      </c>
      <c r="H5" s="26" t="inlineStr">
        <is>
          <t>Can mine Coal</t>
        </is>
      </c>
    </row>
    <row r="6" ht="18" customHeight="1" s="21">
      <c r="A6" s="27" t="inlineStr">
        <is>
          <t>T4</t>
        </is>
      </c>
      <c r="B6" s="27" t="inlineStr">
        <is>
          <t>Mithril Pickaxe</t>
        </is>
      </c>
      <c r="C6" s="27" t="n">
        <v>50</v>
      </c>
      <c r="D6" s="27" t="n">
        <v>50</v>
      </c>
      <c r="E6" s="29" t="n">
        <v>2</v>
      </c>
      <c r="F6" s="27" t="inlineStr">
        <is>
          <t>Maple</t>
        </is>
      </c>
      <c r="G6" s="34" t="n">
        <v>0.75</v>
      </c>
      <c r="H6" s="27" t="inlineStr">
        <is>
          <t>Can mine Mithril</t>
        </is>
      </c>
    </row>
    <row r="7" ht="18" customHeight="1" s="21">
      <c r="A7" s="26" t="inlineStr">
        <is>
          <t>T5</t>
        </is>
      </c>
      <c r="B7" s="26" t="inlineStr">
        <is>
          <t>Adamant Pickaxe</t>
        </is>
      </c>
      <c r="C7" s="26" t="n">
        <v>70</v>
      </c>
      <c r="D7" s="26" t="n">
        <v>70</v>
      </c>
      <c r="E7" s="28" t="n">
        <v>2</v>
      </c>
      <c r="F7" s="26" t="inlineStr">
        <is>
          <t>Yew</t>
        </is>
      </c>
      <c r="G7" s="33" t="n">
        <v>1</v>
      </c>
      <c r="H7" s="26" t="inlineStr">
        <is>
          <t>Can mine Adamantite</t>
        </is>
      </c>
    </row>
    <row r="8" ht="18" customHeight="1" s="21">
      <c r="A8" s="27" t="inlineStr">
        <is>
          <t>T6</t>
        </is>
      </c>
      <c r="B8" s="27" t="inlineStr">
        <is>
          <t>Rune Pickaxe</t>
        </is>
      </c>
      <c r="C8" s="27" t="n">
        <v>85</v>
      </c>
      <c r="D8" s="27" t="n">
        <v>85</v>
      </c>
      <c r="E8" s="29" t="n">
        <v>2</v>
      </c>
      <c r="F8" s="27" t="inlineStr">
        <is>
          <t>Magic</t>
        </is>
      </c>
      <c r="G8" s="34" t="n">
        <v>1.25</v>
      </c>
      <c r="H8" s="27" t="inlineStr">
        <is>
          <t>5% double ore</t>
        </is>
      </c>
    </row>
    <row r="9" ht="18" customHeight="1" s="21">
      <c r="A9" s="26" t="inlineStr">
        <is>
          <t>T7</t>
        </is>
      </c>
      <c r="B9" s="26" t="inlineStr">
        <is>
          <t>Dragon Pickaxe</t>
        </is>
      </c>
      <c r="C9" s="26" t="n">
        <v>95</v>
      </c>
      <c r="D9" s="26" t="n">
        <v>95</v>
      </c>
      <c r="E9" s="28" t="n">
        <v>1</v>
      </c>
      <c r="F9" s="26" t="inlineStr">
        <is>
          <t>Magic</t>
        </is>
      </c>
      <c r="G9" s="33" t="n">
        <v>1.5</v>
      </c>
      <c r="H9" s="26" t="inlineStr">
        <is>
          <t>10% double, +5% rare gem</t>
        </is>
      </c>
    </row>
    <row r="10"/>
    <row r="11" ht="15" customHeight="1" s="21">
      <c r="A11" s="32" t="inlineStr">
        <is>
          <t>Hatchets — Woodcutting</t>
        </is>
      </c>
    </row>
    <row r="12" ht="21.75" customHeight="1" s="21">
      <c r="A12" s="25" t="inlineStr">
        <is>
          <t>Tier</t>
        </is>
      </c>
      <c r="B12" s="25" t="inlineStr">
        <is>
          <t>Tool</t>
        </is>
      </c>
      <c r="C12" s="25" t="inlineStr">
        <is>
          <t>Smith Lv</t>
        </is>
      </c>
      <c r="D12" s="25" t="inlineStr">
        <is>
          <t>Wield Lv</t>
        </is>
      </c>
      <c r="E12" s="25" t="inlineStr">
        <is>
          <t>Bars</t>
        </is>
      </c>
      <c r="F12" s="25" t="inlineStr">
        <is>
          <t>Plank</t>
        </is>
      </c>
      <c r="G12" s="25" t="inlineStr">
        <is>
          <t>Speed bonus</t>
        </is>
      </c>
      <c r="H12" s="25" t="inlineStr">
        <is>
          <t>Special</t>
        </is>
      </c>
    </row>
    <row r="13" ht="18" customHeight="1" s="21">
      <c r="A13" s="26" t="inlineStr">
        <is>
          <t>T1</t>
        </is>
      </c>
      <c r="B13" s="26" t="inlineStr">
        <is>
          <t>Bronze Hatchet</t>
        </is>
      </c>
      <c r="C13" s="26" t="n">
        <v>1</v>
      </c>
      <c r="D13" s="26" t="n">
        <v>1</v>
      </c>
      <c r="E13" s="28" t="n">
        <v>1</v>
      </c>
      <c r="F13" s="26" t="inlineStr">
        <is>
          <t>Normal</t>
        </is>
      </c>
      <c r="G13" s="33" t="n">
        <v>0</v>
      </c>
      <c r="H13" s="26" t="inlineStr">
        <is>
          <t>Required to chop</t>
        </is>
      </c>
    </row>
    <row r="14" ht="18" customHeight="1" s="21">
      <c r="A14" s="27" t="inlineStr">
        <is>
          <t>T2</t>
        </is>
      </c>
      <c r="B14" s="27" t="inlineStr">
        <is>
          <t>Iron Hatchet</t>
        </is>
      </c>
      <c r="C14" s="27" t="n">
        <v>15</v>
      </c>
      <c r="D14" s="27" t="n">
        <v>15</v>
      </c>
      <c r="E14" s="29" t="n">
        <v>1</v>
      </c>
      <c r="F14" s="27" t="inlineStr">
        <is>
          <t>Oak</t>
        </is>
      </c>
      <c r="G14" s="34" t="n">
        <v>0.25</v>
      </c>
      <c r="H14" s="27" t="n"/>
    </row>
    <row r="15" ht="18" customHeight="1" s="21">
      <c r="A15" s="26" t="inlineStr">
        <is>
          <t>T3</t>
        </is>
      </c>
      <c r="B15" s="26" t="inlineStr">
        <is>
          <t>Steel Hatchet</t>
        </is>
      </c>
      <c r="C15" s="26" t="n">
        <v>30</v>
      </c>
      <c r="D15" s="26" t="n">
        <v>30</v>
      </c>
      <c r="E15" s="28" t="n">
        <v>1</v>
      </c>
      <c r="F15" s="26" t="inlineStr">
        <is>
          <t>Willow</t>
        </is>
      </c>
      <c r="G15" s="33" t="n">
        <v>0.5</v>
      </c>
      <c r="H15" s="26" t="n"/>
    </row>
    <row r="16" ht="18" customHeight="1" s="21">
      <c r="A16" s="27" t="inlineStr">
        <is>
          <t>T4</t>
        </is>
      </c>
      <c r="B16" s="27" t="inlineStr">
        <is>
          <t>Mithril Hatchet</t>
        </is>
      </c>
      <c r="C16" s="27" t="n">
        <v>50</v>
      </c>
      <c r="D16" s="27" t="n">
        <v>50</v>
      </c>
      <c r="E16" s="29" t="n">
        <v>1</v>
      </c>
      <c r="F16" s="27" t="inlineStr">
        <is>
          <t>Maple</t>
        </is>
      </c>
      <c r="G16" s="34" t="n">
        <v>0.75</v>
      </c>
      <c r="H16" s="27" t="inlineStr">
        <is>
          <t>Can chop Maple</t>
        </is>
      </c>
    </row>
    <row r="17" ht="18" customHeight="1" s="21">
      <c r="A17" s="26" t="inlineStr">
        <is>
          <t>T5</t>
        </is>
      </c>
      <c r="B17" s="26" t="inlineStr">
        <is>
          <t>Adamant Hatchet</t>
        </is>
      </c>
      <c r="C17" s="26" t="n">
        <v>70</v>
      </c>
      <c r="D17" s="26" t="n">
        <v>70</v>
      </c>
      <c r="E17" s="28" t="n">
        <v>1</v>
      </c>
      <c r="F17" s="26" t="inlineStr">
        <is>
          <t>Yew</t>
        </is>
      </c>
      <c r="G17" s="33" t="n">
        <v>1</v>
      </c>
      <c r="H17" s="26" t="n"/>
    </row>
    <row r="18" ht="18" customHeight="1" s="21">
      <c r="A18" s="27" t="inlineStr">
        <is>
          <t>T6</t>
        </is>
      </c>
      <c r="B18" s="27" t="inlineStr">
        <is>
          <t>Rune Hatchet</t>
        </is>
      </c>
      <c r="C18" s="27" t="n">
        <v>85</v>
      </c>
      <c r="D18" s="27" t="n">
        <v>85</v>
      </c>
      <c r="E18" s="29" t="n">
        <v>1</v>
      </c>
      <c r="F18" s="27" t="inlineStr">
        <is>
          <t>Magic</t>
        </is>
      </c>
      <c r="G18" s="34" t="n">
        <v>1.25</v>
      </c>
      <c r="H18" s="27" t="inlineStr">
        <is>
          <t>5% double log</t>
        </is>
      </c>
    </row>
    <row r="19" ht="18" customHeight="1" s="21">
      <c r="A19" s="26" t="inlineStr">
        <is>
          <t>T7</t>
        </is>
      </c>
      <c r="B19" s="26" t="inlineStr">
        <is>
          <t>Dragon Hatchet</t>
        </is>
      </c>
      <c r="C19" s="26" t="n">
        <v>95</v>
      </c>
      <c r="D19" s="26" t="n">
        <v>95</v>
      </c>
      <c r="E19" s="28" t="n">
        <v>1</v>
      </c>
      <c r="F19" s="26" t="inlineStr">
        <is>
          <t>Magic</t>
        </is>
      </c>
      <c r="G19" s="33" t="n">
        <v>1.5</v>
      </c>
      <c r="H19" s="26" t="inlineStr">
        <is>
          <t>10% double + chance for nest drop</t>
        </is>
      </c>
    </row>
    <row r="20"/>
    <row r="21" ht="15" customHeight="1" s="21">
      <c r="A21" s="32" t="inlineStr">
        <is>
          <t>Cookware — the Iron Pan ladder</t>
        </is>
      </c>
    </row>
    <row r="22" ht="21.75" customHeight="1" s="21">
      <c r="A22" s="25" t="inlineStr">
        <is>
          <t>Tier</t>
        </is>
      </c>
      <c r="B22" s="25" t="inlineStr">
        <is>
          <t>Tool</t>
        </is>
      </c>
      <c r="C22" s="25" t="inlineStr">
        <is>
          <t>Smith Lv</t>
        </is>
      </c>
      <c r="D22" s="25" t="inlineStr">
        <is>
          <t>Wield Lv</t>
        </is>
      </c>
      <c r="E22" s="25" t="inlineStr">
        <is>
          <t>Bars</t>
        </is>
      </c>
      <c r="F22" s="25" t="inlineStr">
        <is>
          <t>Plank</t>
        </is>
      </c>
      <c r="G22" s="25" t="inlineStr">
        <is>
          <t>Double-cook %</t>
        </is>
      </c>
      <c r="H22" s="25" t="inlineStr">
        <is>
          <t>No-burn %</t>
        </is>
      </c>
    </row>
    <row r="23" ht="18" customHeight="1" s="21">
      <c r="A23" s="26" t="inlineStr">
        <is>
          <t>T1</t>
        </is>
      </c>
      <c r="B23" s="26" t="inlineStr">
        <is>
          <t>Bronze Pan</t>
        </is>
      </c>
      <c r="C23" s="26" t="n">
        <v>1</v>
      </c>
      <c r="D23" s="26" t="n">
        <v>1</v>
      </c>
      <c r="E23" s="28" t="n">
        <v>2</v>
      </c>
      <c r="F23" s="26" t="inlineStr">
        <is>
          <t>Normal</t>
        </is>
      </c>
      <c r="G23" s="33" t="n">
        <v>0</v>
      </c>
      <c r="H23" s="33" t="n">
        <v>0</v>
      </c>
    </row>
    <row r="24" ht="18" customHeight="1" s="21">
      <c r="A24" s="27" t="inlineStr">
        <is>
          <t>T2</t>
        </is>
      </c>
      <c r="B24" s="27" t="inlineStr">
        <is>
          <t>Iron Pan</t>
        </is>
      </c>
      <c r="C24" s="27" t="n">
        <v>15</v>
      </c>
      <c r="D24" s="27" t="n">
        <v>15</v>
      </c>
      <c r="E24" s="29" t="n">
        <v>2</v>
      </c>
      <c r="F24" s="27" t="inlineStr">
        <is>
          <t>Oak</t>
        </is>
      </c>
      <c r="G24" s="34" t="n">
        <v>0.05</v>
      </c>
      <c r="H24" s="34" t="n">
        <v>0</v>
      </c>
    </row>
    <row r="25" ht="18" customHeight="1" s="21">
      <c r="A25" s="26" t="inlineStr">
        <is>
          <t>T3</t>
        </is>
      </c>
      <c r="B25" s="26" t="inlineStr">
        <is>
          <t>Steel Skillet</t>
        </is>
      </c>
      <c r="C25" s="26" t="n">
        <v>30</v>
      </c>
      <c r="D25" s="26" t="n">
        <v>30</v>
      </c>
      <c r="E25" s="28" t="n">
        <v>2</v>
      </c>
      <c r="F25" s="26" t="inlineStr">
        <is>
          <t>Willow</t>
        </is>
      </c>
      <c r="G25" s="33" t="n">
        <v>0.1</v>
      </c>
      <c r="H25" s="33" t="n">
        <v>0.05</v>
      </c>
    </row>
    <row r="26" ht="18" customHeight="1" s="21">
      <c r="A26" s="27" t="inlineStr">
        <is>
          <t>T4</t>
        </is>
      </c>
      <c r="B26" s="27" t="inlineStr">
        <is>
          <t>Mithril Wok</t>
        </is>
      </c>
      <c r="C26" s="27" t="n">
        <v>50</v>
      </c>
      <c r="D26" s="27" t="n">
        <v>50</v>
      </c>
      <c r="E26" s="29" t="n">
        <v>2</v>
      </c>
      <c r="F26" s="27" t="inlineStr">
        <is>
          <t>Maple</t>
        </is>
      </c>
      <c r="G26" s="34" t="n">
        <v>0.15</v>
      </c>
      <c r="H26" s="34" t="n">
        <v>0.1</v>
      </c>
    </row>
    <row r="27" ht="18" customHeight="1" s="21">
      <c r="A27" s="26" t="inlineStr">
        <is>
          <t>T5</t>
        </is>
      </c>
      <c r="B27" s="26" t="inlineStr">
        <is>
          <t>Adamant Pot</t>
        </is>
      </c>
      <c r="C27" s="26" t="n">
        <v>70</v>
      </c>
      <c r="D27" s="26" t="n">
        <v>70</v>
      </c>
      <c r="E27" s="28" t="n">
        <v>3</v>
      </c>
      <c r="F27" s="26" t="inlineStr">
        <is>
          <t>Yew</t>
        </is>
      </c>
      <c r="G27" s="33" t="n">
        <v>0.2</v>
      </c>
      <c r="H27" s="33" t="n">
        <v>0.15</v>
      </c>
    </row>
    <row r="28" ht="18" customHeight="1" s="21">
      <c r="A28" s="27" t="inlineStr">
        <is>
          <t>T6</t>
        </is>
      </c>
      <c r="B28" s="27" t="inlineStr">
        <is>
          <t>Rune Cauldron</t>
        </is>
      </c>
      <c r="C28" s="27" t="n">
        <v>85</v>
      </c>
      <c r="D28" s="27" t="n">
        <v>85</v>
      </c>
      <c r="E28" s="29" t="n">
        <v>3</v>
      </c>
      <c r="F28" s="27" t="inlineStr">
        <is>
          <t>Magic</t>
        </is>
      </c>
      <c r="G28" s="34" t="n">
        <v>0.25</v>
      </c>
      <c r="H28" s="34" t="n">
        <v>0.2</v>
      </c>
    </row>
    <row r="29" ht="18" customHeight="1" s="21">
      <c r="A29" s="26" t="inlineStr">
        <is>
          <t>T7</t>
        </is>
      </c>
      <c r="B29" s="26" t="inlineStr">
        <is>
          <t>Dragon Cauldron</t>
        </is>
      </c>
      <c r="C29" s="26" t="n">
        <v>95</v>
      </c>
      <c r="D29" s="26" t="n">
        <v>95</v>
      </c>
      <c r="E29" s="28" t="n">
        <v>3</v>
      </c>
      <c r="F29" s="26" t="inlineStr">
        <is>
          <t>Magic</t>
        </is>
      </c>
      <c r="G29" s="33" t="n">
        <v>0.3</v>
      </c>
      <c r="H29" s="33" t="n">
        <v>1</v>
      </c>
    </row>
    <row r="30"/>
    <row r="31" ht="15" customHeight="1" s="21">
      <c r="A31" s="32" t="inlineStr">
        <is>
          <t>Implements — Crafting needles, Smithing hammers, Magic staves, Prayer censers</t>
        </is>
      </c>
    </row>
    <row r="32" ht="21.75" customHeight="1" s="21">
      <c r="A32" s="25" t="inlineStr">
        <is>
          <t>Skill</t>
        </is>
      </c>
      <c r="B32" s="25" t="inlineStr">
        <is>
          <t>Tool</t>
        </is>
      </c>
      <c r="C32" s="25" t="inlineStr">
        <is>
          <t>Tier ladder</t>
        </is>
      </c>
      <c r="D32" s="25" t="inlineStr">
        <is>
          <t>Top-tier bonus</t>
        </is>
      </c>
    </row>
    <row r="33" ht="18" customHeight="1" s="21">
      <c r="A33" s="26" t="inlineStr">
        <is>
          <t>Crafting</t>
        </is>
      </c>
      <c r="B33" s="26" t="inlineStr">
        <is>
          <t>Needle</t>
        </is>
      </c>
      <c r="C33" s="26" t="inlineStr">
        <is>
          <t>Bronze → Dragon</t>
        </is>
      </c>
      <c r="D33" s="26" t="inlineStr">
        <is>
          <t>20% chance to use 1 less material per craft</t>
        </is>
      </c>
    </row>
    <row r="34" ht="18" customHeight="1" s="21">
      <c r="A34" s="27" t="inlineStr">
        <is>
          <t>Smithing</t>
        </is>
      </c>
      <c r="B34" s="27" t="inlineStr">
        <is>
          <t>Hammer</t>
        </is>
      </c>
      <c r="C34" s="27" t="inlineStr">
        <is>
          <t>Bronze → Dragon</t>
        </is>
      </c>
      <c r="D34" s="27" t="inlineStr">
        <is>
          <t>20% chance to forge 2 items per ore</t>
        </is>
      </c>
    </row>
    <row r="35" ht="18" customHeight="1" s="21">
      <c r="A35" s="26" t="inlineStr">
        <is>
          <t>Magic</t>
        </is>
      </c>
      <c r="B35" s="26" t="inlineStr">
        <is>
          <t>Staff</t>
        </is>
      </c>
      <c r="C35" s="26" t="inlineStr">
        <is>
          <t>Bronze → Rune</t>
        </is>
      </c>
      <c r="D35" s="26" t="inlineStr">
        <is>
          <t>Spell power +50% / unlock T6 spells</t>
        </is>
      </c>
    </row>
    <row r="36" ht="18" customHeight="1" s="21">
      <c r="A36" s="27" t="inlineStr">
        <is>
          <t>Prayer</t>
        </is>
      </c>
      <c r="B36" s="27" t="inlineStr">
        <is>
          <t>Censer</t>
        </is>
      </c>
      <c r="C36" s="27" t="inlineStr">
        <is>
          <t>Bronze → Dragon</t>
        </is>
      </c>
      <c r="D36" s="27" t="inlineStr">
        <is>
          <t>20% bone refund on bury</t>
        </is>
      </c>
    </row>
    <row r="37" ht="18" customHeight="1" s="21">
      <c r="A37" s="26" t="inlineStr">
        <is>
          <t>Fishing</t>
        </is>
      </c>
      <c r="B37" s="26" t="inlineStr">
        <is>
          <t>Rod</t>
        </is>
      </c>
      <c r="C37" s="26" t="inlineStr">
        <is>
          <t>Bronze → Rune</t>
        </is>
      </c>
      <c r="D37" s="26" t="inlineStr">
        <is>
          <t>20% double-catch, can fish Crystal Fish</t>
        </is>
      </c>
    </row>
    <row r="38" ht="18" customHeight="1" s="21">
      <c r="A38" s="27" t="inlineStr">
        <is>
          <t>Farming</t>
        </is>
      </c>
      <c r="B38" s="27" t="inlineStr">
        <is>
          <t>Hoe</t>
        </is>
      </c>
      <c r="C38" s="27" t="inlineStr">
        <is>
          <t>Bronze → Rune</t>
        </is>
      </c>
      <c r="D38" s="27" t="inlineStr">
        <is>
          <t>+1 yield per crop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G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20" min="1" max="1"/>
    <col width="10" customWidth="1" style="20" min="2" max="2"/>
    <col width="8" customWidth="1" style="20" min="3" max="3"/>
    <col width="10" customWidth="1" style="20" min="4" max="4"/>
    <col width="12" customWidth="1" style="20" min="5" max="6"/>
    <col width="10" customWidth="1" style="20" min="7" max="7"/>
  </cols>
  <sheetData>
    <row r="1" ht="21.75" customHeight="1" s="21">
      <c r="A1" s="25" t="inlineStr">
        <is>
          <t>Slot</t>
        </is>
      </c>
      <c r="B1" s="25" t="inlineStr">
        <is>
          <t>T1</t>
        </is>
      </c>
      <c r="C1" s="25" t="inlineStr">
        <is>
          <t>T2</t>
        </is>
      </c>
      <c r="D1" s="25" t="inlineStr">
        <is>
          <t>T3</t>
        </is>
      </c>
      <c r="E1" s="25" t="inlineStr">
        <is>
          <t>T4</t>
        </is>
      </c>
      <c r="F1" s="25" t="inlineStr">
        <is>
          <t>T5</t>
        </is>
      </c>
      <c r="G1" s="25" t="inlineStr">
        <is>
          <t>T6</t>
        </is>
      </c>
    </row>
    <row r="2" ht="18" customHeight="1" s="21">
      <c r="A2" s="26" t="inlineStr">
        <is>
          <t>Weapon (sword)</t>
        </is>
      </c>
      <c r="B2" s="26" t="inlineStr">
        <is>
          <t>Bronze</t>
        </is>
      </c>
      <c r="C2" s="26" t="inlineStr">
        <is>
          <t>Iron</t>
        </is>
      </c>
      <c r="D2" s="26" t="inlineStr">
        <is>
          <t>Steel</t>
        </is>
      </c>
      <c r="E2" s="26" t="inlineStr">
        <is>
          <t>Mithril</t>
        </is>
      </c>
      <c r="F2" s="26" t="inlineStr">
        <is>
          <t>Adamant</t>
        </is>
      </c>
      <c r="G2" s="26" t="inlineStr">
        <is>
          <t>Rune / Dragon</t>
        </is>
      </c>
    </row>
    <row r="3" ht="18" customHeight="1" s="21">
      <c r="A3" s="27" t="inlineStr">
        <is>
          <t>Helmet</t>
        </is>
      </c>
      <c r="B3" s="27" t="inlineStr">
        <is>
          <t>Bronze</t>
        </is>
      </c>
      <c r="C3" s="27" t="inlineStr">
        <is>
          <t>Iron</t>
        </is>
      </c>
      <c r="D3" s="27" t="inlineStr">
        <is>
          <t>Steel</t>
        </is>
      </c>
      <c r="E3" s="27" t="inlineStr">
        <is>
          <t>Mithril</t>
        </is>
      </c>
      <c r="F3" s="27" t="inlineStr">
        <is>
          <t>Adamant</t>
        </is>
      </c>
      <c r="G3" s="27" t="inlineStr">
        <is>
          <t>Rune / Dragon</t>
        </is>
      </c>
    </row>
    <row r="4" ht="18" customHeight="1" s="21">
      <c r="A4" s="26" t="inlineStr">
        <is>
          <t>Body</t>
        </is>
      </c>
      <c r="B4" s="26" t="inlineStr">
        <is>
          <t>Bronze</t>
        </is>
      </c>
      <c r="C4" s="26" t="inlineStr">
        <is>
          <t>Iron</t>
        </is>
      </c>
      <c r="D4" s="26" t="inlineStr">
        <is>
          <t>Steel</t>
        </is>
      </c>
      <c r="E4" s="26" t="inlineStr">
        <is>
          <t>Mithril</t>
        </is>
      </c>
      <c r="F4" s="26" t="inlineStr">
        <is>
          <t>Adamant</t>
        </is>
      </c>
      <c r="G4" s="26" t="inlineStr">
        <is>
          <t>Rune / Dragon</t>
        </is>
      </c>
    </row>
    <row r="5" ht="18" customHeight="1" s="21">
      <c r="A5" s="27" t="inlineStr">
        <is>
          <t>Pants</t>
        </is>
      </c>
      <c r="B5" s="27" t="inlineStr">
        <is>
          <t>Bronze</t>
        </is>
      </c>
      <c r="C5" s="27" t="inlineStr">
        <is>
          <t>Iron</t>
        </is>
      </c>
      <c r="D5" s="27" t="inlineStr">
        <is>
          <t>Steel</t>
        </is>
      </c>
      <c r="E5" s="27" t="inlineStr">
        <is>
          <t>Mithril</t>
        </is>
      </c>
      <c r="F5" s="27" t="inlineStr">
        <is>
          <t>Adamant</t>
        </is>
      </c>
      <c r="G5" s="27" t="inlineStr">
        <is>
          <t>Rune / Dragon</t>
        </is>
      </c>
    </row>
    <row r="6" ht="18" customHeight="1" s="21">
      <c r="A6" s="26" t="inlineStr">
        <is>
          <t>Boots</t>
        </is>
      </c>
      <c r="B6" s="26" t="inlineStr">
        <is>
          <t>Hide</t>
        </is>
      </c>
      <c r="C6" s="26" t="inlineStr">
        <is>
          <t>Iron</t>
        </is>
      </c>
      <c r="D6" s="26" t="inlineStr">
        <is>
          <t>Steel</t>
        </is>
      </c>
      <c r="E6" s="26" t="inlineStr">
        <is>
          <t>Snakeskin</t>
        </is>
      </c>
      <c r="F6" s="26" t="inlineStr">
        <is>
          <t>Dragonhide</t>
        </is>
      </c>
      <c r="G6" s="26" t="inlineStr">
        <is>
          <t>Phoenix-feather</t>
        </is>
      </c>
    </row>
    <row r="7" ht="18" customHeight="1" s="21">
      <c r="A7" s="27" t="inlineStr">
        <is>
          <t>Gloves</t>
        </is>
      </c>
      <c r="B7" s="27" t="inlineStr">
        <is>
          <t>Cloth</t>
        </is>
      </c>
      <c r="C7" s="27" t="inlineStr">
        <is>
          <t>Leather</t>
        </is>
      </c>
      <c r="D7" s="27" t="inlineStr">
        <is>
          <t>Padded</t>
        </is>
      </c>
      <c r="E7" s="27" t="inlineStr">
        <is>
          <t>Snakeskin</t>
        </is>
      </c>
      <c r="F7" s="27" t="inlineStr">
        <is>
          <t>Dragonhide</t>
        </is>
      </c>
      <c r="G7" s="27" t="inlineStr">
        <is>
          <t>Phoenix-feather</t>
        </is>
      </c>
    </row>
    <row r="8" ht="18" customHeight="1" s="21">
      <c r="A8" s="26" t="inlineStr">
        <is>
          <t>Cape</t>
        </is>
      </c>
      <c r="B8" s="26" t="inlineStr">
        <is>
          <t>—</t>
        </is>
      </c>
      <c r="C8" s="26" t="inlineStr">
        <is>
          <t>Traveler</t>
        </is>
      </c>
      <c r="D8" s="26" t="inlineStr">
        <is>
          <t>Hunter</t>
        </is>
      </c>
      <c r="E8" s="26" t="inlineStr">
        <is>
          <t>Magic Cape</t>
        </is>
      </c>
      <c r="F8" s="26" t="inlineStr">
        <is>
          <t>Demon Cape</t>
        </is>
      </c>
      <c r="G8" s="26" t="inlineStr">
        <is>
          <t>Phoenix Cape</t>
        </is>
      </c>
    </row>
    <row r="9" ht="18" customHeight="1" s="21">
      <c r="A9" s="27" t="inlineStr">
        <is>
          <t>Ring 1 / 2</t>
        </is>
      </c>
      <c r="B9" s="27" t="inlineStr">
        <is>
          <t>Copper</t>
        </is>
      </c>
      <c r="C9" s="27" t="inlineStr">
        <is>
          <t>Gold</t>
        </is>
      </c>
      <c r="D9" s="27" t="inlineStr">
        <is>
          <t>Steel</t>
        </is>
      </c>
      <c r="E9" s="27" t="inlineStr">
        <is>
          <t>Mithril</t>
        </is>
      </c>
      <c r="F9" s="27" t="inlineStr">
        <is>
          <t>Adamant</t>
        </is>
      </c>
      <c r="G9" s="27" t="inlineStr">
        <is>
          <t>Mastery</t>
        </is>
      </c>
    </row>
    <row r="10" ht="18" customHeight="1" s="21">
      <c r="A10" s="26" t="inlineStr">
        <is>
          <t>Necklace</t>
        </is>
      </c>
      <c r="B10" s="26" t="inlineStr">
        <is>
          <t>—</t>
        </is>
      </c>
      <c r="C10" s="26" t="inlineStr">
        <is>
          <t>Hunter</t>
        </is>
      </c>
      <c r="D10" s="26" t="inlineStr">
        <is>
          <t>Plenty</t>
        </is>
      </c>
      <c r="E10" s="26" t="inlineStr">
        <is>
          <t>Skill</t>
        </is>
      </c>
      <c r="F10" s="26" t="inlineStr">
        <is>
          <t>Power</t>
        </is>
      </c>
      <c r="G10" s="26" t="inlineStr">
        <is>
          <t>Heart of Stone</t>
        </is>
      </c>
    </row>
    <row r="11" ht="18" customHeight="1" s="21">
      <c r="A11" s="27" t="inlineStr">
        <is>
          <t>Earrings</t>
        </is>
      </c>
      <c r="B11" s="27" t="inlineStr">
        <is>
          <t>—</t>
        </is>
      </c>
      <c r="C11" s="27" t="inlineStr">
        <is>
          <t>Bronze</t>
        </is>
      </c>
      <c r="D11" s="27" t="inlineStr">
        <is>
          <t>Iron</t>
        </is>
      </c>
      <c r="E11" s="27" t="inlineStr">
        <is>
          <t>Focus</t>
        </is>
      </c>
      <c r="F11" s="27" t="inlineStr">
        <is>
          <t>Mooncap</t>
        </is>
      </c>
      <c r="G11" s="27" t="inlineStr">
        <is>
          <t>Phoenix</t>
        </is>
      </c>
    </row>
    <row r="12" ht="18" customHeight="1" s="21">
      <c r="A12" s="26" t="inlineStr">
        <is>
          <t>Ammo</t>
        </is>
      </c>
      <c r="B12" s="26" t="inlineStr">
        <is>
          <t>—</t>
        </is>
      </c>
      <c r="C12" s="26" t="inlineStr">
        <is>
          <t>Iron Arr</t>
        </is>
      </c>
      <c r="D12" s="26" t="inlineStr">
        <is>
          <t>Steel Arr</t>
        </is>
      </c>
      <c r="E12" s="26" t="inlineStr">
        <is>
          <t>Mithril A</t>
        </is>
      </c>
      <c r="F12" s="26" t="inlineStr">
        <is>
          <t>Adamant A</t>
        </is>
      </c>
      <c r="G12" s="26" t="inlineStr">
        <is>
          <t>Rune A</t>
        </is>
      </c>
    </row>
    <row r="13" ht="18" customHeight="1" s="21">
      <c r="A13" s="27" t="inlineStr">
        <is>
          <t>Belt</t>
        </is>
      </c>
      <c r="B13" s="27" t="inlineStr">
        <is>
          <t>—</t>
        </is>
      </c>
      <c r="C13" s="27" t="inlineStr">
        <is>
          <t>Bronze</t>
        </is>
      </c>
      <c r="D13" s="27" t="inlineStr">
        <is>
          <t>Iron</t>
        </is>
      </c>
      <c r="E13" s="27" t="inlineStr">
        <is>
          <t>Steel</t>
        </is>
      </c>
      <c r="F13" s="27" t="inlineStr">
        <is>
          <t>Adamant</t>
        </is>
      </c>
      <c r="G13" s="27" t="inlineStr">
        <is>
          <t>Rune</t>
        </is>
      </c>
    </row>
    <row r="14" ht="18" customHeight="1" s="21">
      <c r="A14" s="26" t="inlineStr">
        <is>
          <t>Companion</t>
        </is>
      </c>
      <c r="B14" s="26" t="inlineStr">
        <is>
          <t>—</t>
        </is>
      </c>
      <c r="C14" s="26" t="inlineStr">
        <is>
          <t>—</t>
        </is>
      </c>
      <c r="D14" s="26" t="inlineStr">
        <is>
          <t>Fox</t>
        </is>
      </c>
      <c r="E14" s="26" t="inlineStr">
        <is>
          <t>Wolf</t>
        </is>
      </c>
      <c r="F14" s="26" t="inlineStr">
        <is>
          <t>Phoenix</t>
        </is>
      </c>
      <c r="G14" s="26" t="inlineStr">
        <is>
          <t>Dragon Hatchling</t>
        </is>
      </c>
    </row>
    <row r="15"/>
    <row r="16" ht="15" customHeight="1" s="21">
      <c r="A16" s="32" t="inlineStr">
        <is>
          <t>Sword stat ladder (representative)</t>
        </is>
      </c>
    </row>
    <row r="17" ht="21.75" customHeight="1" s="21">
      <c r="A17" s="25" t="inlineStr">
        <is>
          <t>Sword</t>
        </is>
      </c>
      <c r="B17" s="25" t="inlineStr">
        <is>
          <t>Smith Lv</t>
        </is>
      </c>
      <c r="C17" s="25" t="inlineStr">
        <is>
          <t>Bars</t>
        </is>
      </c>
      <c r="D17" s="25" t="inlineStr">
        <is>
          <t>Plank</t>
        </is>
      </c>
      <c r="E17" s="25" t="inlineStr">
        <is>
          <t>ATK bonus</t>
        </is>
      </c>
      <c r="F17" s="25" t="inlineStr">
        <is>
          <t>STR bonus</t>
        </is>
      </c>
      <c r="G17" s="25" t="inlineStr">
        <is>
          <t>Speed</t>
        </is>
      </c>
    </row>
    <row r="18" ht="18" customHeight="1" s="21">
      <c r="A18" s="26" t="inlineStr">
        <is>
          <t>Bronze Sword</t>
        </is>
      </c>
      <c r="B18" s="26" t="n">
        <v>1</v>
      </c>
      <c r="C18" s="28" t="n">
        <v>2</v>
      </c>
      <c r="D18" s="28" t="n">
        <v>1</v>
      </c>
      <c r="E18" s="28" t="n">
        <v>4</v>
      </c>
      <c r="F18" s="28" t="n">
        <v>3</v>
      </c>
      <c r="G18" s="28" t="n">
        <v>1</v>
      </c>
    </row>
    <row r="19" ht="18" customHeight="1" s="21">
      <c r="A19" s="27" t="inlineStr">
        <is>
          <t>Iron Sword</t>
        </is>
      </c>
      <c r="B19" s="27" t="n">
        <v>15</v>
      </c>
      <c r="C19" s="29" t="n">
        <v>2</v>
      </c>
      <c r="D19" s="29" t="n">
        <v>1</v>
      </c>
      <c r="E19" s="29" t="n">
        <v>7</v>
      </c>
      <c r="F19" s="29" t="n">
        <v>6</v>
      </c>
      <c r="G19" s="29" t="n">
        <v>1</v>
      </c>
    </row>
    <row r="20" ht="18" customHeight="1" s="21">
      <c r="A20" s="26" t="inlineStr">
        <is>
          <t>Steel Sword</t>
        </is>
      </c>
      <c r="B20" s="26" t="n">
        <v>30</v>
      </c>
      <c r="C20" s="28" t="n">
        <v>2</v>
      </c>
      <c r="D20" s="28" t="n">
        <v>1</v>
      </c>
      <c r="E20" s="28" t="n">
        <v>12</v>
      </c>
      <c r="F20" s="28" t="n">
        <v>10</v>
      </c>
      <c r="G20" s="28" t="n">
        <v>1</v>
      </c>
    </row>
    <row r="21" ht="18" customHeight="1" s="21">
      <c r="A21" s="27" t="inlineStr">
        <is>
          <t>Mithril Sword</t>
        </is>
      </c>
      <c r="B21" s="27" t="n">
        <v>50</v>
      </c>
      <c r="C21" s="29" t="n">
        <v>2</v>
      </c>
      <c r="D21" s="29" t="n">
        <v>1</v>
      </c>
      <c r="E21" s="29" t="n">
        <v>18</v>
      </c>
      <c r="F21" s="29" t="n">
        <v>16</v>
      </c>
      <c r="G21" s="29" t="n">
        <v>1.05</v>
      </c>
    </row>
    <row r="22" ht="18" customHeight="1" s="21">
      <c r="A22" s="26" t="inlineStr">
        <is>
          <t>Adamant Sword</t>
        </is>
      </c>
      <c r="B22" s="26" t="n">
        <v>70</v>
      </c>
      <c r="C22" s="28" t="n">
        <v>2</v>
      </c>
      <c r="D22" s="28" t="n">
        <v>1</v>
      </c>
      <c r="E22" s="28" t="n">
        <v>24</v>
      </c>
      <c r="F22" s="28" t="n">
        <v>22</v>
      </c>
      <c r="G22" s="28" t="n">
        <v>1.05</v>
      </c>
    </row>
    <row r="23" ht="18" customHeight="1" s="21">
      <c r="A23" s="27" t="inlineStr">
        <is>
          <t>Rune Sword</t>
        </is>
      </c>
      <c r="B23" s="27" t="n">
        <v>85</v>
      </c>
      <c r="C23" s="29" t="n">
        <v>2</v>
      </c>
      <c r="D23" s="29" t="n">
        <v>1</v>
      </c>
      <c r="E23" s="29" t="n">
        <v>32</v>
      </c>
      <c r="F23" s="29" t="n">
        <v>30</v>
      </c>
      <c r="G23" s="29" t="n">
        <v>1.1</v>
      </c>
    </row>
    <row r="24" ht="18" customHeight="1" s="21">
      <c r="A24" s="26" t="inlineStr">
        <is>
          <t>Dragon Sword</t>
        </is>
      </c>
      <c r="B24" s="26" t="n">
        <v>95</v>
      </c>
      <c r="C24" s="28" t="n">
        <v>1</v>
      </c>
      <c r="D24" s="28" t="n">
        <v>1</v>
      </c>
      <c r="E24" s="28" t="n">
        <v>42</v>
      </c>
      <c r="F24" s="28" t="n">
        <v>40</v>
      </c>
      <c r="G24" s="28" t="n">
        <v>1.15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20" min="1" max="1"/>
    <col width="8" customWidth="1" style="20" min="2" max="2"/>
    <col width="14" customWidth="1" style="20" min="3" max="3"/>
    <col width="26" customWidth="1" style="20" min="4" max="4"/>
    <col width="32" customWidth="1" style="20" min="5" max="5"/>
    <col width="36" customWidth="1" style="20" min="6" max="6"/>
  </cols>
  <sheetData>
    <row r="1" ht="21.75" customHeight="1" s="21">
      <c r="A1" s="25" t="inlineStr">
        <is>
          <t>Room</t>
        </is>
      </c>
      <c r="B1" s="25" t="inlineStr">
        <is>
          <t>Tier</t>
        </is>
      </c>
      <c r="C1" s="25" t="inlineStr">
        <is>
          <t>Gold cost</t>
        </is>
      </c>
      <c r="D1" s="25" t="inlineStr">
        <is>
          <t>Material 1</t>
        </is>
      </c>
      <c r="E1" s="25" t="inlineStr">
        <is>
          <t>Material 2</t>
        </is>
      </c>
      <c r="F1" s="25" t="inlineStr">
        <is>
          <t>Bonus</t>
        </is>
      </c>
    </row>
    <row r="2" ht="18" customHeight="1" s="21">
      <c r="A2" s="26" t="inlineStr">
        <is>
          <t>Kitchen</t>
        </is>
      </c>
      <c r="B2" s="26" t="n">
        <v>1</v>
      </c>
      <c r="C2" s="28" t="n">
        <v>500</v>
      </c>
      <c r="D2" s="26" t="inlineStr">
        <is>
          <t>20 Normal Plank</t>
        </is>
      </c>
      <c r="E2" s="26" t="n"/>
      <c r="F2" s="26" t="inlineStr">
        <is>
          <t>Cook +10%</t>
        </is>
      </c>
    </row>
    <row r="3" ht="18" customHeight="1" s="21">
      <c r="A3" s="27" t="inlineStr">
        <is>
          <t>Kitchen</t>
        </is>
      </c>
      <c r="B3" s="27" t="n">
        <v>2</v>
      </c>
      <c r="C3" s="29" t="n">
        <v>2000</v>
      </c>
      <c r="D3" s="27" t="inlineStr">
        <is>
          <t>30 Oak Plank</t>
        </is>
      </c>
      <c r="E3" s="27" t="inlineStr">
        <is>
          <t>20 Iron Bar</t>
        </is>
      </c>
      <c r="F3" s="27" t="inlineStr">
        <is>
          <t>Cook +25%</t>
        </is>
      </c>
    </row>
    <row r="4" ht="18" customHeight="1" s="21">
      <c r="A4" s="26" t="inlineStr">
        <is>
          <t>Kitchen</t>
        </is>
      </c>
      <c r="B4" s="26" t="n">
        <v>3</v>
      </c>
      <c r="C4" s="28" t="n">
        <v>8000</v>
      </c>
      <c r="D4" s="26" t="inlineStr">
        <is>
          <t>30 Oak Plank</t>
        </is>
      </c>
      <c r="E4" s="26" t="inlineStr">
        <is>
          <t>50 Iron Bar</t>
        </is>
      </c>
      <c r="F4" s="26" t="inlineStr">
        <is>
          <t>Cook +40%</t>
        </is>
      </c>
    </row>
    <row r="5" ht="18" customHeight="1" s="21">
      <c r="A5" s="27" t="inlineStr">
        <is>
          <t>Kitchen</t>
        </is>
      </c>
      <c r="B5" s="27" t="n">
        <v>4</v>
      </c>
      <c r="C5" s="29" t="n">
        <v>30000</v>
      </c>
      <c r="D5" s="27" t="inlineStr">
        <is>
          <t>40 Maple Plank</t>
        </is>
      </c>
      <c r="E5" s="27" t="inlineStr">
        <is>
          <t>30 Mithril Bar</t>
        </is>
      </c>
      <c r="F5" s="27" t="inlineStr">
        <is>
          <t>Cook +60%</t>
        </is>
      </c>
    </row>
    <row r="6" ht="18" customHeight="1" s="21">
      <c r="A6" s="26" t="inlineStr">
        <is>
          <t>Kitchen</t>
        </is>
      </c>
      <c r="B6" s="26" t="n">
        <v>5</v>
      </c>
      <c r="C6" s="28" t="n">
        <v>120000</v>
      </c>
      <c r="D6" s="26" t="inlineStr">
        <is>
          <t>50 Maple Plank</t>
        </is>
      </c>
      <c r="E6" s="26" t="inlineStr">
        <is>
          <t>50 Mithril Bar + 1 Phoenix Feather</t>
        </is>
      </c>
      <c r="F6" s="26" t="inlineStr">
        <is>
          <t>Cook +75%, +10% no-burn</t>
        </is>
      </c>
    </row>
    <row r="7" ht="18" customHeight="1" s="21">
      <c r="A7" s="27" t="inlineStr">
        <is>
          <t>Forge</t>
        </is>
      </c>
      <c r="B7" s="27" t="n">
        <v>1</v>
      </c>
      <c r="C7" s="29" t="n">
        <v>800</v>
      </c>
      <c r="D7" s="27" t="inlineStr">
        <is>
          <t>30 Copper Ore</t>
        </is>
      </c>
      <c r="E7" s="27" t="n"/>
      <c r="F7" s="27" t="inlineStr">
        <is>
          <t>Smith +10%</t>
        </is>
      </c>
    </row>
    <row r="8" ht="18" customHeight="1" s="21">
      <c r="A8" s="26" t="inlineStr">
        <is>
          <t>Forge</t>
        </is>
      </c>
      <c r="B8" s="26" t="n">
        <v>2</v>
      </c>
      <c r="C8" s="28" t="n">
        <v>3000</v>
      </c>
      <c r="D8" s="26" t="inlineStr">
        <is>
          <t>50 Iron Ore</t>
        </is>
      </c>
      <c r="E8" s="26" t="inlineStr">
        <is>
          <t>20 Coal</t>
        </is>
      </c>
      <c r="F8" s="26" t="inlineStr">
        <is>
          <t>Smith +25%</t>
        </is>
      </c>
    </row>
    <row r="9" ht="18" customHeight="1" s="21">
      <c r="A9" s="27" t="inlineStr">
        <is>
          <t>Forge</t>
        </is>
      </c>
      <c r="B9" s="27" t="n">
        <v>3</v>
      </c>
      <c r="C9" s="29" t="n">
        <v>12000</v>
      </c>
      <c r="D9" s="27" t="inlineStr">
        <is>
          <t>50 Iron Ore</t>
        </is>
      </c>
      <c r="E9" s="27" t="inlineStr">
        <is>
          <t>30 Coal</t>
        </is>
      </c>
      <c r="F9" s="27" t="inlineStr">
        <is>
          <t>Smith +40%</t>
        </is>
      </c>
    </row>
    <row r="10" ht="18" customHeight="1" s="21">
      <c r="A10" s="26" t="inlineStr">
        <is>
          <t>Forge</t>
        </is>
      </c>
      <c r="B10" s="26" t="n">
        <v>4</v>
      </c>
      <c r="C10" s="28" t="n">
        <v>50000</v>
      </c>
      <c r="D10" s="26" t="inlineStr">
        <is>
          <t>30 Mithril Ore</t>
        </is>
      </c>
      <c r="E10" s="26" t="inlineStr">
        <is>
          <t>60 Coal</t>
        </is>
      </c>
      <c r="F10" s="26" t="inlineStr">
        <is>
          <t>Smith +60%</t>
        </is>
      </c>
    </row>
    <row r="11" ht="18" customHeight="1" s="21">
      <c r="A11" s="27" t="inlineStr">
        <is>
          <t>Forge</t>
        </is>
      </c>
      <c r="B11" s="27" t="n">
        <v>5</v>
      </c>
      <c r="C11" s="29" t="n">
        <v>180000</v>
      </c>
      <c r="D11" s="27" t="inlineStr">
        <is>
          <t>50 Mithril Ore</t>
        </is>
      </c>
      <c r="E11" s="27" t="inlineStr">
        <is>
          <t>100 Coal + 1 Dragon Bone</t>
        </is>
      </c>
      <c r="F11" s="27" t="inlineStr">
        <is>
          <t>Smith +75%</t>
        </is>
      </c>
    </row>
    <row r="12" ht="18" customHeight="1" s="21">
      <c r="A12" s="26" t="inlineStr">
        <is>
          <t>Library</t>
        </is>
      </c>
      <c r="B12" s="26" t="n">
        <v>1</v>
      </c>
      <c r="C12" s="28" t="n">
        <v>1000</v>
      </c>
      <c r="D12" s="26" t="inlineStr">
        <is>
          <t>50 Normal Plank</t>
        </is>
      </c>
      <c r="E12" s="26" t="n"/>
      <c r="F12" s="26" t="inlineStr">
        <is>
          <t>All XP +5%</t>
        </is>
      </c>
    </row>
    <row r="13" ht="18" customHeight="1" s="21">
      <c r="A13" s="27" t="inlineStr">
        <is>
          <t>Library</t>
        </is>
      </c>
      <c r="B13" s="27" t="n">
        <v>3</v>
      </c>
      <c r="C13" s="29" t="n">
        <v>15000</v>
      </c>
      <c r="D13" s="27" t="inlineStr">
        <is>
          <t>30 Maple Plank</t>
        </is>
      </c>
      <c r="E13" s="27" t="inlineStr">
        <is>
          <t>5 Magic Essence</t>
        </is>
      </c>
      <c r="F13" s="27" t="inlineStr">
        <is>
          <t>All XP +15%</t>
        </is>
      </c>
    </row>
    <row r="14" ht="18" customHeight="1" s="21">
      <c r="A14" s="26" t="inlineStr">
        <is>
          <t>Library</t>
        </is>
      </c>
      <c r="B14" s="26" t="n">
        <v>5</v>
      </c>
      <c r="C14" s="28" t="n">
        <v>250000</v>
      </c>
      <c r="D14" s="26" t="inlineStr">
        <is>
          <t>100 Yew Plank</t>
        </is>
      </c>
      <c r="E14" s="26" t="inlineStr">
        <is>
          <t>1 Ancient Rune</t>
        </is>
      </c>
      <c r="F14" s="26" t="inlineStr">
        <is>
          <t>All XP +25%</t>
        </is>
      </c>
    </row>
    <row r="15" ht="18" customHeight="1" s="21">
      <c r="A15" s="27" t="inlineStr">
        <is>
          <t>Garden</t>
        </is>
      </c>
      <c r="B15" s="27" t="n">
        <v>1</v>
      </c>
      <c r="C15" s="29" t="n">
        <v>600</v>
      </c>
      <c r="D15" s="27" t="inlineStr">
        <is>
          <t>20 Wheat</t>
        </is>
      </c>
      <c r="E15" s="27" t="n"/>
      <c r="F15" s="27" t="inlineStr">
        <is>
          <t>Yield +1</t>
        </is>
      </c>
    </row>
    <row r="16" ht="18" customHeight="1" s="21">
      <c r="A16" s="26" t="inlineStr">
        <is>
          <t>Garden</t>
        </is>
      </c>
      <c r="B16" s="26" t="n">
        <v>3</v>
      </c>
      <c r="C16" s="28" t="n">
        <v>9000</v>
      </c>
      <c r="D16" s="26" t="inlineStr">
        <is>
          <t>60 Wheat</t>
        </is>
      </c>
      <c r="E16" s="26" t="inlineStr">
        <is>
          <t>5 Pumpkin</t>
        </is>
      </c>
      <c r="F16" s="26" t="inlineStr">
        <is>
          <t>Yield +3</t>
        </is>
      </c>
    </row>
    <row r="17" ht="18" customHeight="1" s="21">
      <c r="A17" s="27" t="inlineStr">
        <is>
          <t>Garden</t>
        </is>
      </c>
      <c r="B17" s="27" t="n">
        <v>5</v>
      </c>
      <c r="C17" s="29" t="n">
        <v>160000</v>
      </c>
      <c r="D17" s="27" t="inlineStr">
        <is>
          <t>5 Mooncap</t>
        </is>
      </c>
      <c r="E17" s="27" t="inlineStr">
        <is>
          <t>5 Magic Berry</t>
        </is>
      </c>
      <c r="F17" s="27" t="inlineStr">
        <is>
          <t>Yield +5</t>
        </is>
      </c>
    </row>
    <row r="18" ht="18" customHeight="1" s="21">
      <c r="A18" s="26" t="inlineStr">
        <is>
          <t>Trophy</t>
        </is>
      </c>
      <c r="B18" s="26" t="n">
        <v>1</v>
      </c>
      <c r="C18" s="28" t="n">
        <v>2000</v>
      </c>
      <c r="D18" s="26" t="inlineStr">
        <is>
          <t>5 Wolf Pelt</t>
        </is>
      </c>
      <c r="E18" s="26" t="n"/>
      <c r="F18" s="26" t="inlineStr">
        <is>
          <t>Combat XP +5%</t>
        </is>
      </c>
    </row>
    <row r="19" ht="18" customHeight="1" s="21">
      <c r="A19" s="27" t="inlineStr">
        <is>
          <t>Trophy</t>
        </is>
      </c>
      <c r="B19" s="27" t="n">
        <v>3</v>
      </c>
      <c r="C19" s="29" t="n">
        <v>8000</v>
      </c>
      <c r="D19" s="27" t="inlineStr">
        <is>
          <t>3 Troll Hide</t>
        </is>
      </c>
      <c r="E19" s="27" t="n"/>
      <c r="F19" s="27" t="inlineStr">
        <is>
          <t>Combat XP +15%</t>
        </is>
      </c>
    </row>
    <row r="20" ht="18" customHeight="1" s="21">
      <c r="A20" s="26" t="inlineStr">
        <is>
          <t>Trophy</t>
        </is>
      </c>
      <c r="B20" s="26" t="n">
        <v>5</v>
      </c>
      <c r="C20" s="28" t="n">
        <v>200000</v>
      </c>
      <c r="D20" s="26" t="inlineStr">
        <is>
          <t>2 Dragon Scale</t>
        </is>
      </c>
      <c r="E20" s="26" t="inlineStr">
        <is>
          <t>1 Lich Soul</t>
        </is>
      </c>
      <c r="F20" s="26" t="inlineStr">
        <is>
          <t>Combat XP +25%</t>
        </is>
      </c>
    </row>
    <row r="21" ht="18" customHeight="1" s="21">
      <c r="A21" s="27" t="inlineStr">
        <is>
          <t>Cellar</t>
        </is>
      </c>
      <c r="B21" s="27" t="n">
        <v>1</v>
      </c>
      <c r="C21" s="29" t="n">
        <v>1200</v>
      </c>
      <c r="D21" s="27" t="inlineStr">
        <is>
          <t>60 Normal Plank</t>
        </is>
      </c>
      <c r="E21" s="27" t="n"/>
      <c r="F21" s="27" t="inlineStr">
        <is>
          <t>+500 storage</t>
        </is>
      </c>
    </row>
    <row r="22" ht="18" customHeight="1" s="21">
      <c r="A22" s="26" t="inlineStr">
        <is>
          <t>Cellar</t>
        </is>
      </c>
      <c r="B22" s="26" t="n">
        <v>3</v>
      </c>
      <c r="C22" s="28" t="n">
        <v>12000</v>
      </c>
      <c r="D22" s="26" t="inlineStr">
        <is>
          <t>50 Willow Plank</t>
        </is>
      </c>
      <c r="E22" s="26" t="n"/>
      <c r="F22" s="26" t="inlineStr">
        <is>
          <t>+5,000 storage</t>
        </is>
      </c>
    </row>
    <row r="23" ht="18" customHeight="1" s="21">
      <c r="A23" s="27" t="inlineStr">
        <is>
          <t>Cellar</t>
        </is>
      </c>
      <c r="B23" s="27" t="n">
        <v>5</v>
      </c>
      <c r="C23" s="29" t="n">
        <v>220000</v>
      </c>
      <c r="D23" s="27" t="inlineStr">
        <is>
          <t>50 Yew Plank</t>
        </is>
      </c>
      <c r="E23" s="27" t="inlineStr">
        <is>
          <t>1 Phoenix Feather</t>
        </is>
      </c>
      <c r="F23" s="27" t="inlineStr">
        <is>
          <t>+10,000 storage, +4h offline cap</t>
        </is>
      </c>
    </row>
    <row r="24" ht="18" customHeight="1" s="21">
      <c r="A24" s="26" t="inlineStr">
        <is>
          <t>Workshop</t>
        </is>
      </c>
      <c r="B24" s="26" t="n">
        <v>1</v>
      </c>
      <c r="C24" s="28" t="n">
        <v>900</v>
      </c>
      <c r="D24" s="26" t="inlineStr">
        <is>
          <t>40 Copper Ore</t>
        </is>
      </c>
      <c r="E24" s="26" t="n"/>
      <c r="F24" s="26" t="inlineStr">
        <is>
          <t>Craft cost −3%</t>
        </is>
      </c>
    </row>
    <row r="25" ht="18" customHeight="1" s="21">
      <c r="A25" s="27" t="inlineStr">
        <is>
          <t>Workshop</t>
        </is>
      </c>
      <c r="B25" s="27" t="n">
        <v>3</v>
      </c>
      <c r="C25" s="29" t="n">
        <v>14000</v>
      </c>
      <c r="D25" s="27" t="inlineStr">
        <is>
          <t>60 Iron Ore</t>
        </is>
      </c>
      <c r="E25" s="27" t="inlineStr">
        <is>
          <t>1 Magic Essence</t>
        </is>
      </c>
      <c r="F25" s="27" t="inlineStr">
        <is>
          <t>Craft cost −7%</t>
        </is>
      </c>
    </row>
    <row r="26" ht="18" customHeight="1" s="21">
      <c r="A26" s="26" t="inlineStr">
        <is>
          <t>Workshop</t>
        </is>
      </c>
      <c r="B26" s="26" t="n">
        <v>5</v>
      </c>
      <c r="C26" s="28" t="n">
        <v>280000</v>
      </c>
      <c r="D26" s="26" t="inlineStr">
        <is>
          <t>50 Mithril Ore</t>
        </is>
      </c>
      <c r="E26" s="26" t="inlineStr">
        <is>
          <t>1 Dragon Gem</t>
        </is>
      </c>
      <c r="F26" s="26" t="inlineStr">
        <is>
          <t>Craft cost −10%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E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20" min="1" max="1"/>
    <col width="14" customWidth="1" style="20" min="2" max="2"/>
    <col width="50" customWidth="1" style="20" min="3" max="3"/>
    <col width="26" customWidth="1" style="20" min="4" max="4"/>
    <col width="50" customWidth="1" style="20" min="5" max="5"/>
  </cols>
  <sheetData>
    <row r="1" ht="21.75" customHeight="1" s="21">
      <c r="A1" s="25" t="inlineStr">
        <is>
          <t>Tier</t>
        </is>
      </c>
      <c r="B1" s="25" t="inlineStr">
        <is>
          <t>Pooled gold</t>
        </is>
      </c>
      <c r="C1" s="25" t="inlineStr">
        <is>
          <t>Pooled materials</t>
        </is>
      </c>
      <c r="D1" s="25" t="inlineStr">
        <is>
          <t>Boss requirement</t>
        </is>
      </c>
      <c r="E1" s="25" t="inlineStr">
        <is>
          <t>Unlocks</t>
        </is>
      </c>
    </row>
    <row r="2" ht="18" customHeight="1" s="21">
      <c r="A2" s="26" t="inlineStr">
        <is>
          <t>T1 Foundation</t>
        </is>
      </c>
      <c r="B2" s="28" t="n">
        <v>50000</v>
      </c>
      <c r="C2" s="26" t="inlineStr">
        <is>
          <t>5,000 Oak Plank + 1,000 Iron Bar</t>
        </is>
      </c>
      <c r="D2" s="26" t="inlineStr">
        <is>
          <t>—</t>
        </is>
      </c>
      <c r="E2" s="26" t="inlineStr">
        <is>
          <t>Castle exists, clan chat, +1% shared XP</t>
        </is>
      </c>
    </row>
    <row r="3" ht="18" customHeight="1" s="21">
      <c r="A3" s="27" t="inlineStr">
        <is>
          <t>T2 Walls</t>
        </is>
      </c>
      <c r="B3" s="29" t="n">
        <v>150000</v>
      </c>
      <c r="C3" s="27" t="inlineStr">
        <is>
          <t>+ 25,000 Willow Plank + 5,000 Steel Bar + 500 Wolf Pelt</t>
        </is>
      </c>
      <c r="D3" s="27" t="inlineStr">
        <is>
          <t>—</t>
        </is>
      </c>
      <c r="E3" s="27" t="inlineStr">
        <is>
          <t>Storage 50k, +2% XP, Castle Defense missions every 4h</t>
        </is>
      </c>
    </row>
    <row r="4" ht="18" customHeight="1" s="21">
      <c r="A4" s="26" t="inlineStr">
        <is>
          <t>T3 Keep</t>
        </is>
      </c>
      <c r="B4" s="28" t="n">
        <v>400000</v>
      </c>
      <c r="C4" s="26" t="inlineStr">
        <is>
          <t>+ 50,000 Maple Plank + 10,000 Mithril Bar + 100 Troll Hide</t>
        </is>
      </c>
      <c r="D4" s="26" t="inlineStr">
        <is>
          <t>—</t>
        </is>
      </c>
      <c r="E4" s="26" t="inlineStr">
        <is>
          <t>Clan vault, +3% XP, 5-player raids</t>
        </is>
      </c>
    </row>
    <row r="5" ht="18" customHeight="1" s="21">
      <c r="A5" s="27" t="inlineStr">
        <is>
          <t>T4 Bastion</t>
        </is>
      </c>
      <c r="B5" s="29" t="n">
        <v>1200000</v>
      </c>
      <c r="C5" s="27" t="inlineStr">
        <is>
          <t>+ 100,000 Yew Plank + 20,000 Adamant Bar + 50 Dragon Scale + 10 Demon Shard</t>
        </is>
      </c>
      <c r="D5" s="27" t="inlineStr">
        <is>
          <t>Defeat World Boss (24h cycle)</t>
        </is>
      </c>
      <c r="E5" s="27" t="inlineStr">
        <is>
          <t>+4% XP, world boss schedule</t>
        </is>
      </c>
    </row>
    <row r="6" ht="18" customHeight="1" s="21">
      <c r="A6" s="26" t="inlineStr">
        <is>
          <t>T5 Mythic Hold</t>
        </is>
      </c>
      <c r="B6" s="28" t="n">
        <v>5000000</v>
      </c>
      <c r="C6" s="26" t="inlineStr">
        <is>
          <t>+ 500,000 Magic Plank + 50,000 Rune Bar + 25 Lich Soul + 10 Phoenix Feather</t>
        </is>
      </c>
      <c r="D6" s="26" t="inlineStr">
        <is>
          <t>Clan kill of God-tier raid</t>
        </is>
      </c>
      <c r="E6" s="26" t="inlineStr">
        <is>
          <t>+5% XP, Phoenix Stew shareable, 10-player Mythic raid, server-wide cosmetic title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F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20" min="1" max="1"/>
    <col width="16" customWidth="1" style="20" min="2" max="2"/>
    <col width="14" customWidth="1" style="20" min="3" max="3"/>
    <col width="18" customWidth="1" style="20" min="4" max="4"/>
    <col width="14" customWidth="1" style="20" min="5" max="5"/>
    <col width="18" customWidth="1" style="20" min="6" max="6"/>
  </cols>
  <sheetData>
    <row r="1" ht="15" customHeight="1" s="21">
      <c r="A1" s="32" t="inlineStr">
        <is>
          <t>Inputs (edit these): Kills per hour</t>
        </is>
      </c>
    </row>
    <row r="2" ht="15" customHeight="1" s="21">
      <c r="A2" s="35" t="inlineStr">
        <is>
          <t>Kills/hr</t>
        </is>
      </c>
      <c r="B2" s="36" t="n">
        <v>100</v>
      </c>
    </row>
    <row r="3"/>
    <row r="4" ht="21.75" customHeight="1" s="21">
      <c r="A4" s="25" t="inlineStr">
        <is>
          <t>Monster</t>
        </is>
      </c>
      <c r="B4" s="25" t="inlineStr">
        <is>
          <t>Drop</t>
        </is>
      </c>
      <c r="C4" s="25" t="inlineStr">
        <is>
          <t>Drop chance</t>
        </is>
      </c>
      <c r="D4" s="25" t="inlineStr">
        <is>
          <t>Expected drops/hr</t>
        </is>
      </c>
      <c r="E4" s="25" t="inlineStr">
        <is>
          <t>Item value (g)</t>
        </is>
      </c>
      <c r="F4" s="25" t="inlineStr">
        <is>
          <t>Expected gold/hr</t>
        </is>
      </c>
    </row>
    <row r="5" ht="18" customHeight="1" s="21">
      <c r="A5" s="26" t="inlineStr">
        <is>
          <t>Slime</t>
        </is>
      </c>
      <c r="B5" s="26" t="inlineStr">
        <is>
          <t>Slime Gel</t>
        </is>
      </c>
      <c r="C5" s="33" t="n">
        <v>0.8</v>
      </c>
      <c r="D5" s="37">
        <f>$B$2*C5</f>
        <v/>
      </c>
      <c r="E5" s="28" t="n">
        <v>5</v>
      </c>
      <c r="F5" s="37">
        <f>D5*E5</f>
        <v/>
      </c>
    </row>
    <row r="6" ht="18" customHeight="1" s="21">
      <c r="A6" s="27" t="inlineStr">
        <is>
          <t>Slime</t>
        </is>
      </c>
      <c r="B6" s="27" t="inlineStr">
        <is>
          <t>Bones</t>
        </is>
      </c>
      <c r="C6" s="34" t="n">
        <v>0.5</v>
      </c>
      <c r="D6" s="38">
        <f>$B$2*C6</f>
        <v/>
      </c>
      <c r="E6" s="29" t="n">
        <v>1</v>
      </c>
      <c r="F6" s="38">
        <f>D6*E6</f>
        <v/>
      </c>
    </row>
    <row r="7" ht="18" customHeight="1" s="21">
      <c r="A7" s="26" t="inlineStr">
        <is>
          <t>Goblin</t>
        </is>
      </c>
      <c r="B7" s="26" t="inlineStr">
        <is>
          <t>Goblin Ear</t>
        </is>
      </c>
      <c r="C7" s="33" t="n">
        <v>0.5</v>
      </c>
      <c r="D7" s="37">
        <f>$B$2*C7</f>
        <v/>
      </c>
      <c r="E7" s="28" t="n">
        <v>8</v>
      </c>
      <c r="F7" s="37">
        <f>D7*E7</f>
        <v/>
      </c>
    </row>
    <row r="8" ht="18" customHeight="1" s="21">
      <c r="A8" s="27" t="inlineStr">
        <is>
          <t>Goblin</t>
        </is>
      </c>
      <c r="B8" s="27" t="inlineStr">
        <is>
          <t>Bronze Sword</t>
        </is>
      </c>
      <c r="C8" s="34" t="n">
        <v>0.03</v>
      </c>
      <c r="D8" s="38">
        <f>$B$2*C8</f>
        <v/>
      </c>
      <c r="E8" s="29" t="n">
        <v>50</v>
      </c>
      <c r="F8" s="38">
        <f>D8*E8</f>
        <v/>
      </c>
    </row>
    <row r="9" ht="18" customHeight="1" s="21">
      <c r="A9" s="26" t="inlineStr">
        <is>
          <t>Wolf</t>
        </is>
      </c>
      <c r="B9" s="26" t="inlineStr">
        <is>
          <t>Wolf Pelt</t>
        </is>
      </c>
      <c r="C9" s="33" t="n">
        <v>0.7</v>
      </c>
      <c r="D9" s="37">
        <f>$B$2*C9</f>
        <v/>
      </c>
      <c r="E9" s="28" t="n">
        <v>35</v>
      </c>
      <c r="F9" s="37">
        <f>D9*E9</f>
        <v/>
      </c>
    </row>
    <row r="10" ht="18" customHeight="1" s="21">
      <c r="A10" s="27" t="inlineStr">
        <is>
          <t>Troll</t>
        </is>
      </c>
      <c r="B10" s="27" t="inlineStr">
        <is>
          <t>Troll Hide</t>
        </is>
      </c>
      <c r="C10" s="34" t="n">
        <v>0.6</v>
      </c>
      <c r="D10" s="38">
        <f>$B$2*C10</f>
        <v/>
      </c>
      <c r="E10" s="29" t="n">
        <v>80</v>
      </c>
      <c r="F10" s="38">
        <f>D10*E10</f>
        <v/>
      </c>
    </row>
    <row r="11" ht="18" customHeight="1" s="21">
      <c r="A11" s="26" t="inlineStr">
        <is>
          <t>Dragon</t>
        </is>
      </c>
      <c r="B11" s="26" t="inlineStr">
        <is>
          <t>Dragon Scale</t>
        </is>
      </c>
      <c r="C11" s="33" t="n">
        <v>0.5</v>
      </c>
      <c r="D11" s="37">
        <f>$B$2*C11</f>
        <v/>
      </c>
      <c r="E11" s="28" t="n">
        <v>500</v>
      </c>
      <c r="F11" s="37">
        <f>D11*E11</f>
        <v/>
      </c>
    </row>
    <row r="12" ht="18" customHeight="1" s="21">
      <c r="A12" s="27" t="inlineStr">
        <is>
          <t>Dragon</t>
        </is>
      </c>
      <c r="B12" s="27" t="inlineStr">
        <is>
          <t>Dragon Gem</t>
        </is>
      </c>
      <c r="C12" s="34" t="n">
        <v>0.02</v>
      </c>
      <c r="D12" s="38">
        <f>$B$2*C12</f>
        <v/>
      </c>
      <c r="E12" s="29" t="n">
        <v>2000</v>
      </c>
      <c r="F12" s="38">
        <f>D12*E12</f>
        <v/>
      </c>
    </row>
    <row r="13" ht="18" customHeight="1" s="21">
      <c r="A13" s="26" t="inlineStr">
        <is>
          <t>Lich</t>
        </is>
      </c>
      <c r="B13" s="26" t="inlineStr">
        <is>
          <t>Lich Soul</t>
        </is>
      </c>
      <c r="C13" s="33" t="n">
        <v>0.8</v>
      </c>
      <c r="D13" s="37">
        <f>$B$2*C13</f>
        <v/>
      </c>
      <c r="E13" s="28" t="n">
        <v>800</v>
      </c>
      <c r="F13" s="37">
        <f>D13*E13</f>
        <v/>
      </c>
    </row>
    <row r="14" ht="18" customHeight="1" s="21">
      <c r="A14" s="27" t="inlineStr">
        <is>
          <t>Lich</t>
        </is>
      </c>
      <c r="B14" s="27" t="inlineStr">
        <is>
          <t>Ancient Rune</t>
        </is>
      </c>
      <c r="C14" s="34" t="n">
        <v>0.3</v>
      </c>
      <c r="D14" s="38">
        <f>$B$2*C14</f>
        <v/>
      </c>
      <c r="E14" s="29" t="n">
        <v>300</v>
      </c>
      <c r="F14" s="38">
        <f>D14*E14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D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6" customWidth="1" style="20" min="1" max="1"/>
    <col width="14" customWidth="1" style="20" min="2" max="2"/>
    <col width="36" customWidth="1" style="20" min="3" max="3"/>
    <col width="30" customWidth="1" style="20" min="4" max="4"/>
  </cols>
  <sheetData>
    <row r="1" ht="15" customHeight="1" s="21">
      <c r="A1" s="24" t="inlineStr">
        <is>
          <t>Gold faucets</t>
        </is>
      </c>
    </row>
    <row r="2" ht="21.75" customHeight="1" s="21">
      <c r="A2" s="25" t="inlineStr">
        <is>
          <t>Source</t>
        </is>
      </c>
      <c r="B2" s="25" t="inlineStr">
        <is>
          <t>Rate per hour (mid-game)</t>
        </is>
      </c>
      <c r="C2" s="25" t="inlineStr">
        <is>
          <t>Notes</t>
        </is>
      </c>
    </row>
    <row r="3" ht="18" customHeight="1" s="21">
      <c r="A3" s="26" t="inlineStr">
        <is>
          <t>Monster kills</t>
        </is>
      </c>
      <c r="B3" s="28" t="n">
        <v>2500</v>
      </c>
      <c r="C3" s="26" t="inlineStr">
        <is>
          <t>100 kills/hr × ~25g/kill</t>
        </is>
      </c>
    </row>
    <row r="4" ht="18" customHeight="1" s="21">
      <c r="A4" s="27" t="inlineStr">
        <is>
          <t>Sell shop</t>
        </is>
      </c>
      <c r="B4" s="29" t="n">
        <v>1500</v>
      </c>
      <c r="C4" s="27" t="inlineStr">
        <is>
          <t>Sell unwanted drops</t>
        </is>
      </c>
    </row>
    <row r="5" ht="18" customHeight="1" s="21">
      <c r="A5" s="26" t="inlineStr">
        <is>
          <t>Daily tasks</t>
        </is>
      </c>
      <c r="B5" s="28" t="n">
        <v>400</v>
      </c>
      <c r="C5" s="26" t="inlineStr">
        <is>
          <t>Spread across daily actions</t>
        </is>
      </c>
    </row>
    <row r="6" ht="18" customHeight="1" s="21">
      <c r="A6" s="27" t="inlineStr">
        <is>
          <t>Quest rewards</t>
        </is>
      </c>
      <c r="B6" s="29" t="n">
        <v>300</v>
      </c>
      <c r="C6" s="27" t="inlineStr">
        <is>
          <t>Average over time</t>
        </is>
      </c>
    </row>
    <row r="7" ht="18" customHeight="1" s="21">
      <c r="A7" s="26" t="inlineStr">
        <is>
          <t>Castle defense missions</t>
        </is>
      </c>
      <c r="B7" s="28" t="n">
        <v>800</v>
      </c>
      <c r="C7" s="26" t="inlineStr">
        <is>
          <t>Every 4h drops + gold</t>
        </is>
      </c>
    </row>
    <row r="8"/>
    <row r="9" ht="15" customHeight="1" s="21">
      <c r="A9" s="24" t="inlineStr">
        <is>
          <t>Gold sinks</t>
        </is>
      </c>
    </row>
    <row r="10" ht="21.75" customHeight="1" s="21">
      <c r="A10" s="25" t="inlineStr">
        <is>
          <t>Sink</t>
        </is>
      </c>
      <c r="B10" s="25" t="inlineStr">
        <is>
          <t>Rate per hour (target)</t>
        </is>
      </c>
      <c r="C10" s="25" t="inlineStr">
        <is>
          <t>Notes</t>
        </is>
      </c>
    </row>
    <row r="11" ht="18" customHeight="1" s="21">
      <c r="A11" s="26" t="inlineStr">
        <is>
          <t>Equipment shop</t>
        </is>
      </c>
      <c r="B11" s="28" t="n">
        <v>1200</v>
      </c>
      <c r="C11" s="26" t="inlineStr">
        <is>
          <t>Player buys gear upgrades</t>
        </is>
      </c>
    </row>
    <row r="12" ht="18" customHeight="1" s="21">
      <c r="A12" s="27" t="inlineStr">
        <is>
          <t>Seed shop</t>
        </is>
      </c>
      <c r="B12" s="29" t="n">
        <v>400</v>
      </c>
      <c r="C12" s="27" t="inlineStr">
        <is>
          <t>Farming seeds</t>
        </is>
      </c>
    </row>
    <row r="13" ht="18" customHeight="1" s="21">
      <c r="A13" s="26" t="inlineStr">
        <is>
          <t>Room/plot upgrades</t>
        </is>
      </c>
      <c r="B13" s="28" t="n">
        <v>2000</v>
      </c>
      <c r="C13" s="26" t="inlineStr">
        <is>
          <t>Mid-game, smoothed average</t>
        </is>
      </c>
    </row>
    <row r="14" ht="18" customHeight="1" s="21">
      <c r="A14" s="27" t="inlineStr">
        <is>
          <t>Repair (T6 gear)</t>
        </is>
      </c>
      <c r="B14" s="29" t="n">
        <v>500</v>
      </c>
      <c r="C14" s="27" t="inlineStr">
        <is>
          <t>Endgame only</t>
        </is>
      </c>
    </row>
    <row r="15" ht="18" customHeight="1" s="21">
      <c r="A15" s="26" t="inlineStr">
        <is>
          <t>Cosmetic dyes</t>
        </is>
      </c>
      <c r="B15" s="28" t="n">
        <v>200</v>
      </c>
      <c r="C15" s="26" t="inlineStr">
        <is>
          <t>Vanity</t>
        </is>
      </c>
    </row>
    <row r="16"/>
    <row r="17" ht="15" customHeight="1" s="21">
      <c r="A17" s="39" t="inlineStr">
        <is>
          <t>Net gold per hour</t>
        </is>
      </c>
      <c r="B17" s="40">
        <f>SUM(B3:B7)-SUM(B11:B15)</f>
        <v/>
      </c>
    </row>
    <row r="18"/>
    <row r="19" ht="15" customHeight="1" s="21">
      <c r="A19" s="24" t="inlineStr">
        <is>
          <t>Gem faucets</t>
        </is>
      </c>
    </row>
    <row r="20" ht="21.75" customHeight="1" s="21">
      <c r="A20" s="25" t="inlineStr">
        <is>
          <t>Source</t>
        </is>
      </c>
      <c r="B20" s="25" t="inlineStr">
        <is>
          <t>Per week (free player)</t>
        </is>
      </c>
      <c r="C20" s="25" t="inlineStr">
        <is>
          <t>Per week (paid)</t>
        </is>
      </c>
      <c r="D20" s="25" t="inlineStr">
        <is>
          <t>Notes</t>
        </is>
      </c>
    </row>
    <row r="21" ht="18" customHeight="1" s="21">
      <c r="A21" s="26" t="inlineStr">
        <is>
          <t>IAP packs</t>
        </is>
      </c>
      <c r="B21" s="28" t="n">
        <v>0</v>
      </c>
      <c r="C21" s="28" t="n">
        <v>1000</v>
      </c>
      <c r="D21" s="26" t="inlineStr">
        <is>
          <t>Up to player</t>
        </is>
      </c>
    </row>
    <row r="22" ht="18" customHeight="1" s="21">
      <c r="A22" s="27" t="inlineStr">
        <is>
          <t>Season Pass tiers</t>
        </is>
      </c>
      <c r="B22" s="29" t="n">
        <v>0</v>
      </c>
      <c r="C22" s="29" t="n">
        <v>300</v>
      </c>
      <c r="D22" s="27" t="inlineStr">
        <is>
          <t>30-day, ~10/day on tiers</t>
        </is>
      </c>
    </row>
    <row r="23" ht="18" customHeight="1" s="21">
      <c r="A23" s="26" t="inlineStr">
        <is>
          <t>Boss rare drops</t>
        </is>
      </c>
      <c r="B23" s="28" t="n">
        <v>5</v>
      </c>
      <c r="C23" s="28" t="n">
        <v>5</v>
      </c>
      <c r="D23" s="26" t="inlineStr">
        <is>
          <t>Capped 5/week</t>
        </is>
      </c>
    </row>
    <row r="24" ht="18" customHeight="1" s="21">
      <c r="A24" s="27" t="inlineStr">
        <is>
          <t>Daily login</t>
        </is>
      </c>
      <c r="B24" s="29" t="n">
        <v>7</v>
      </c>
      <c r="C24" s="29" t="n">
        <v>7</v>
      </c>
      <c r="D24" s="27" t="inlineStr">
        <is>
          <t>1/day</t>
        </is>
      </c>
    </row>
    <row r="25" ht="18" customHeight="1" s="21">
      <c r="A25" s="26" t="inlineStr">
        <is>
          <t>Achievements</t>
        </is>
      </c>
      <c r="B25" s="28" t="n">
        <v>10</v>
      </c>
      <c r="C25" s="28" t="n">
        <v>10</v>
      </c>
      <c r="D25" s="26" t="inlineStr">
        <is>
          <t>Bursty</t>
        </is>
      </c>
    </row>
    <row r="26"/>
    <row r="27" ht="15" customHeight="1" s="21">
      <c r="A27" s="24" t="inlineStr">
        <is>
          <t>Gem sinks</t>
        </is>
      </c>
    </row>
    <row r="28" ht="21.75" customHeight="1" s="21">
      <c r="A28" s="25" t="inlineStr">
        <is>
          <t>Sink</t>
        </is>
      </c>
      <c r="B28" s="25" t="inlineStr">
        <is>
          <t>Cost</t>
        </is>
      </c>
      <c r="C28" s="25" t="inlineStr">
        <is>
          <t>Notes</t>
        </is>
      </c>
    </row>
    <row r="29" ht="18" customHeight="1" s="21">
      <c r="A29" s="26" t="inlineStr">
        <is>
          <t>Cosmetic ring (skin)</t>
        </is>
      </c>
      <c r="B29" s="28" t="n">
        <v>200</v>
      </c>
      <c r="C29" s="26" t="inlineStr">
        <is>
          <t>One-off</t>
        </is>
      </c>
    </row>
    <row r="30" ht="18" customHeight="1" s="21">
      <c r="A30" s="27" t="inlineStr">
        <is>
          <t>House theme</t>
        </is>
      </c>
      <c r="B30" s="29" t="n">
        <v>500</v>
      </c>
      <c r="C30" s="27" t="inlineStr">
        <is>
          <t>Forest/Desert/Winter</t>
        </is>
      </c>
    </row>
    <row r="31" ht="18" customHeight="1" s="21">
      <c r="A31" s="26" t="inlineStr">
        <is>
          <t>Premium house theme</t>
        </is>
      </c>
      <c r="B31" s="28" t="n">
        <v>1000</v>
      </c>
      <c r="C31" s="26" t="inlineStr">
        <is>
          <t>Volcanic</t>
        </is>
      </c>
    </row>
    <row r="32" ht="18" customHeight="1" s="21">
      <c r="A32" s="27" t="inlineStr">
        <is>
          <t>Bag slot expansion (+10)</t>
        </is>
      </c>
      <c r="B32" s="29" t="n">
        <v>100</v>
      </c>
      <c r="C32" s="27" t="inlineStr">
        <is>
          <t>Up to +50 slots</t>
        </is>
      </c>
    </row>
    <row r="33" ht="18" customHeight="1" s="21">
      <c r="A33" s="26" t="inlineStr">
        <is>
          <t>Bank slot expansion (+25)</t>
        </is>
      </c>
      <c r="B33" s="28" t="n">
        <v>150</v>
      </c>
      <c r="C33" s="26" t="inlineStr">
        <is>
          <t>Up to +100 slots</t>
        </is>
      </c>
    </row>
    <row r="34" ht="18" customHeight="1" s="21">
      <c r="A34" s="27" t="inlineStr">
        <is>
          <t>Instant offline finish</t>
        </is>
      </c>
      <c r="B34" s="29" t="n">
        <v>50</v>
      </c>
      <c r="C34" s="27" t="inlineStr">
        <is>
          <t>Mobile convenience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2026-05-01T20:43:09Z</dcterms:created>
  <dcterms:modified xmlns:dcterms="http://purl.org/dc/terms/" xmlns:xsi="http://www.w3.org/2001/XMLSchema-instance" xsi:type="dcterms:W3CDTF">2026-05-02T18:55:12Z</dcterms:modified>
  <cp:revision>0</cp:revision>
</cp:coreProperties>
</file>